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User\Documents\GitHub\Data-Analyst-Projects\"/>
    </mc:Choice>
  </mc:AlternateContent>
  <xr:revisionPtr revIDLastSave="0" documentId="8_{ACC1EFDC-E81B-4DDD-A1EA-A47E94E9D48D}" xr6:coauthVersionLast="47" xr6:coauthVersionMax="47" xr10:uidLastSave="{00000000-0000-0000-0000-000000000000}"/>
  <bookViews>
    <workbookView xWindow="-120" yWindow="-120" windowWidth="20730" windowHeight="11760"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<sst xmlns="http://schemas.openxmlformats.org/spreadsheetml/2006/main" count="3409" uniqueCount="939">
  <si>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</si>
  <si>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</si>
  <si>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</si>
  <si>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</si>
  <si>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</si>
  <si>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</si>
  <si>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</si>
  <si>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</si>
  <si>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</si>
  <si>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</si>
  <si>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</si>
  <si>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</si>
  <si>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</si>
  <si>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</si>
  <si>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</si>
  <si>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</si>
  <si>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</si>
  <si>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</si>
  <si>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</si>
  <si>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</si>
  <si>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</si>
  <si>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</si>
  <si>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</si>
  <si>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</si>
  <si>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</si>
  <si>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</si>
  <si>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</si>
  <si>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</si>
  <si>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</si>
  <si>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</si>
  <si>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</si>
  <si>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</si>
  <si>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</si>
  <si>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</si>
  <si>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</si>
  <si>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</si>
  <si>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</si>
  <si>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</si>
  <si>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</si>
  <si>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</si>
  <si>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</si>
  <si>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</si>
  <si>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</si>
  <si>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</si>
  <si>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</si>
  <si>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</si>
  <si>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</si>
  <si>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</si>
  <si>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</si>
  <si>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</si>
  <si>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</si>
  <si>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</si>
  <si>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</si>
  <si>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</si>
  <si>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</si>
  <si>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</si>
  <si>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</si>
  <si>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</si>
  <si>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</si>
  <si>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</si>
  <si>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</si>
  <si>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</si>
  <si>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</si>
  <si>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</si>
  <si>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</si>
  <si>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</si>
  <si>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</si>
  <si>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</si>
  <si>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</si>
  <si>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</si>
  <si>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</si>
  <si>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</si>
  <si>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</si>
  <si>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</si>
  <si>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</si>
  <si>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</si>
  <si>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</si>
  <si>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</si>
  <si>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</si>
  <si>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</si>
  <si>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</si>
  <si>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</si>
  <si>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</si>
  <si>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</si>
  <si>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</si>
  <si>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</si>
  <si>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</si>
  <si>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</si>
  <si>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</si>
  <si>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</si>
  <si>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</si>
  <si>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</si>
  <si>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</si>
  <si>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</si>
  <si>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</si>
  <si>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</si>
  <si>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</si>
  <si>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</si>
  <si>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</si>
  <si>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</si>
  <si>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</si>
  <si>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</si>
  <si>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</si>
  <si>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</si>
  <si>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</si>
  <si>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</si>
  <si>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</si>
  <si>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</si>
  <si>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</si>
  <si>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</si>
  <si>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</si>
  <si>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</si>
  <si>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</si>
  <si>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</si>
  <si>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</si>
  <si>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</si>
  <si>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</si>
  <si>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</si>
  <si>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</si>
  <si>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</si>
  <si>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</si>
  <si>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</si>
  <si>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</si>
  <si>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</si>
  <si>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</si>
  <si>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</si>
  <si>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</si>
  <si>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</si>
  <si>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</si>
  <si>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</si>
  <si>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</si>
  <si>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</si>
  <si>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</si>
  <si>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</si>
  <si>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</si>
  <si>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</si>
  <si>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</si>
  <si>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</si>
  <si>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</si>
  <si>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</si>
  <si>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</si>
  <si>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</si>
  <si>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</si>
  <si>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</si>
  <si>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</si>
  <si>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</si>
  <si>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</si>
  <si>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</si>
  <si>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</si>
  <si>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</si>
  <si>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</si>
  <si>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</si>
  <si>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</si>
  <si>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</si>
  <si>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</si>
  <si>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</si>
  <si>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</si>
  <si>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</si>
  <si>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</si>
  <si>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</si>
  <si>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</si>
  <si>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</si>
  <si>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</si>
  <si>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</si>
  <si>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</si>
  <si>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</si>
  <si>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</si>
  <si>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</si>
  <si>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</si>
  <si>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</si>
  <si>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</si>
  <si>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</si>
  <si>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</si>
  <si>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</si>
  <si>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</si>
  <si>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</si>
  <si>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</si>
  <si>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</si>
  <si>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</si>
  <si>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</si>
  <si>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</si>
  <si>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</si>
  <si>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</si>
  <si>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</si>
  <si>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</si>
  <si>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</si>
  <si>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</si>
  <si>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</si>
  <si>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</si>
  <si>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</si>
  <si>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</si>
  <si>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</si>
  <si>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</si>
  <si>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</si>
  <si>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</si>
  <si>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</si>
  <si>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</si>
  <si>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</si>
  <si>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</si>
  <si>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</si>
  <si>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</si>
  <si>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</si>
  <si>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</si>
  <si>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</si>
  <si>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</si>
  <si>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</si>
  <si>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</si>
  <si>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</si>
  <si>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</si>
  <si>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</si>
  <si>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</si>
  <si>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</si>
  <si>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</si>
  <si>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</si>
  <si>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</si>
  <si>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</si>
  <si>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</si>
  <si>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</si>
  <si>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</si>
  <si>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</si>
  <si>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</si>
  <si>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</si>
  <si>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</si>
  <si>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</si>
  <si>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</si>
  <si>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</si>
  <si>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</si>
  <si>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</si>
  <si>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</si>
  <si>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</si>
  <si>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</si>
  <si>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</si>
  <si>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</si>
  <si>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</si>
  <si>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</si>
  <si>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</si>
  <si>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</si>
  <si>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</si>
  <si>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</si>
  <si>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</si>
  <si>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</si>
  <si>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</si>
  <si>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</si>
  <si>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</si>
  <si>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</si>
  <si>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</si>
  <si>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</si>
  <si>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</si>
  <si>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</si>
  <si>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</si>
  <si>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</si>
  <si>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</si>
  <si>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</si>
  <si>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</si>
  <si>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</si>
  <si>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</si>
  <si>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</si>
  <si>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</si>
  <si>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</si>
  <si>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</si>
  <si>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</si>
  <si>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</si>
  <si>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</si>
  <si>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</si>
  <si>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</si>
  <si>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</si>
  <si>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</si>
  <si>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</si>
  <si>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</si>
  <si>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</si>
  <si>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</si>
  <si>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</si>
  <si>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</si>
  <si>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</si>
  <si>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</si>
  <si>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</si>
  <si>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</si>
  <si>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</si>
  <si>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</si>
  <si>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</si>
  <si>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</si>
  <si>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</si>
  <si>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</si>
  <si>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</si>
  <si>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</si>
  <si>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</si>
  <si>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</si>
  <si>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</si>
  <si>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</si>
  <si>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</si>
  <si>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</si>
  <si>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</si>
  <si>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</si>
  <si>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</si>
  <si>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</si>
  <si>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</si>
  <si>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</si>
  <si>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</si>
  <si>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</si>
  <si>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</si>
  <si>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</si>
  <si>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</si>
  <si>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</si>
  <si>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</si>
  <si>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</si>
  <si>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</si>
  <si>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</si>
  <si>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</si>
  <si>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</si>
  <si>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</si>
  <si>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</si>
  <si>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</si>
  <si>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</si>
  <si>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</si>
  <si>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</si>
  <si>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</si>
  <si>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</si>
  <si>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</si>
  <si>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</si>
  <si>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</si>
  <si>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</si>
  <si>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</si>
  <si>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</si>
  <si>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</si>
  <si>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</si>
  <si>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</si>
  <si>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</si>
  <si>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</si>
  <si>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</si>
  <si>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</si>
  <si>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</si>
  <si>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</si>
  <si>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</si>
  <si>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</si>
  <si>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</si>
  <si>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</si>
  <si>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</si>
  <si>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</si>
  <si>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</si>
  <si>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</si>
  <si>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</si>
  <si>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</si>
  <si>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</si>
  <si>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</si>
  <si>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</si>
  <si>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</si>
  <si>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</si>
  <si>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</si>
  <si>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</si>
  <si>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</si>
  <si>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</si>
  <si>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</si>
  <si>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</si>
  <si>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</si>
  <si>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</si>
  <si>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</si>
  <si>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</si>
  <si>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</si>
  <si>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</si>
  <si>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</si>
  <si>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</si>
  <si>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</si>
  <si>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</si>
  <si>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</si>
  <si>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</si>
  <si>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</si>
  <si>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</si>
  <si>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</si>
  <si>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</si>
  <si>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</si>
  <si>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</si>
  <si>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</si>
  <si>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</si>
  <si>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</si>
  <si>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</si>
  <si>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</si>
  <si>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</si>
  <si>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</si>
  <si>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</si>
  <si>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</si>
  <si>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</si>
  <si>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</si>
  <si>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</si>
  <si>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</si>
  <si>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</si>
  <si>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</si>
  <si>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</si>
  <si>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</si>
  <si>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</si>
  <si>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</si>
  <si>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</si>
  <si>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</si>
  <si>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</si>
  <si>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</si>
  <si>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</si>
  <si>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</si>
  <si>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</si>
  <si>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</si>
  <si>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</si>
  <si>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</si>
  <si>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</si>
  <si>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</si>
  <si>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</si>
  <si>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</si>
  <si>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</si>
  <si>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</si>
  <si>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</si>
  <si>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</si>
  <si>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</si>
  <si>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</si>
  <si>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</si>
  <si>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</si>
  <si>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</si>
  <si>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</si>
  <si>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</si>
  <si>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</si>
  <si>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</si>
  <si>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</si>
  <si>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</si>
  <si>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</si>
  <si>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</si>
  <si>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</si>
  <si>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</si>
  <si>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</si>
  <si>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</si>
  <si>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</si>
  <si>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</si>
  <si>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</si>
  <si>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</si>
  <si>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</si>
  <si>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</si>
  <si>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</si>
  <si>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</si>
  <si>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</si>
  <si>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</si>
  <si>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</si>
  <si>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</si>
  <si>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</si>
  <si>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</si>
  <si>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</si>
  <si>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</si>
  <si>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</si>
  <si>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</si>
  <si>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</si>
  <si>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</si>
  <si>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</si>
  <si>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</si>
  <si>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</si>
  <si>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</si>
  <si>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</si>
  <si>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</si>
  <si>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</si>
  <si>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</si>
  <si>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</si>
  <si>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</si>
  <si>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</si>
  <si>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</si>
  <si>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</si>
  <si>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</si>
  <si>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</si>
  <si>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</si>
  <si>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</si>
  <si>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</si>
  <si>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</si>
  <si>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</si>
  <si>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</si>
  <si>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</si>
  <si>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</si>
  <si>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</si>
  <si>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</si>
  <si>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</si>
  <si>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</si>
  <si>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</si>
  <si>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</si>
  <si>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</si>
  <si>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</si>
  <si>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</si>
  <si>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</si>
  <si>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</si>
  <si>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</si>
  <si>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</si>
  <si>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</si>
  <si>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</si>
  <si>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</si>
  <si>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</si>
  <si>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</si>
  <si>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</si>
  <si>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</si>
  <si>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</si>
  <si>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</si>
  <si>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</si>
  <si>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</si>
  <si>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</si>
  <si>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</si>
  <si>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</si>
  <si>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</si>
  <si>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</si>
  <si>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</si>
  <si>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</si>
  <si>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</si>
  <si>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</si>
  <si>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</si>
  <si>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</si>
  <si>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</si>
  <si>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</si>
  <si>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</si>
  <si>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</si>
  <si>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</si>
  <si>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</si>
  <si>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</si>
  <si>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</si>
  <si>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</si>
  <si>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</si>
  <si>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</si>
  <si>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</si>
  <si>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</si>
  <si>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</si>
  <si>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</si>
  <si>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</si>
  <si>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</si>
  <si>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</si>
  <si>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</si>
  <si>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</si>
  <si>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</si>
  <si>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</si>
  <si>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</si>
  <si>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</si>
  <si>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</si>
  <si>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</si>
  <si>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</si>
  <si>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</si>
  <si>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</si>
  <si>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</si>
  <si>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</si>
  <si>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</si>
  <si>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</si>
  <si>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</si>
  <si>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</si>
  <si>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</si>
  <si>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</si>
  <si>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</si>
  <si>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</si>
  <si>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</si>
  <si>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</si>
  <si>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</si>
  <si>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</si>
  <si>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</si>
  <si>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</si>
  <si>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</si>
  <si>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</si>
  <si>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</si>
  <si>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</si>
  <si>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</si>
  <si>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</si>
  <si>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</si>
  <si>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</si>
  <si>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</si>
  <si>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</si>
  <si>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</si>
  <si>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</si>
  <si>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</si>
  <si>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</si>
  <si>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</si>
  <si>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</si>
  <si>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</si>
  <si>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</si>
  <si>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</si>
  <si>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</si>
  <si>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</si>
  <si>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</si>
  <si>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</si>
  <si>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</si>
  <si>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</si>
  <si>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</si>
  <si>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</si>
  <si>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</si>
  <si>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</si>
  <si>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</si>
  <si>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</si>
  <si>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</si>
  <si>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</si>
  <si>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</si>
  <si>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</si>
  <si>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</si>
  <si>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</si>
  <si>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</si>
  <si>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</si>
  <si>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</si>
  <si>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</si>
  <si>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</si>
  <si>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</si>
  <si>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</si>
  <si>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</si>
  <si>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</si>
  <si>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</si>
  <si>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</si>
  <si>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</si>
  <si>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</si>
  <si>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</si>
  <si>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</si>
  <si>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</si>
  <si>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</si>
  <si>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</si>
  <si>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</si>
  <si>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</si>
  <si>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</si>
  <si>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</si>
  <si>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</si>
  <si>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</si>
  <si>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</si>
  <si>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</si>
  <si>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</si>
  <si>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</si>
  <si>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</si>
  <si>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</si>
  <si>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</si>
  <si>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</si>
  <si>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</si>
  <si>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</si>
  <si>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</si>
  <si>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</si>
  <si>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</si>
  <si>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</si>
  <si>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</si>
  <si>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</si>
  <si>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</si>
  <si>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</si>
  <si>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</si>
  <si>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</si>
  <si>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</si>
  <si>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</si>
  <si>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</si>
  <si>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</si>
  <si>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</si>
  <si>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</si>
  <si>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</si>
  <si>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</si>
  <si>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</si>
  <si>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</si>
  <si>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</si>
  <si>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</si>
  <si>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</si>
  <si>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</si>
  <si>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</si>
  <si>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</si>
  <si>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</si>
  <si>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</si>
  <si>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</si>
  <si>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</si>
  <si>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</si>
  <si>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</si>
  <si>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</si>
  <si>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</si>
  <si>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</si>
  <si>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</si>
  <si>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</si>
  <si>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</si>
  <si>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</si>
  <si>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</si>
  <si>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</si>
  <si>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</si>
  <si>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</si>
  <si>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</si>
  <si>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</si>
  <si>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</si>
  <si>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</si>
  <si>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</si>
  <si>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</si>
  <si>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</si>
  <si>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</si>
  <si>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</si>
  <si>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</si>
  <si>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</si>
  <si>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</si>
  <si>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</si>
  <si>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</si>
  <si>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</si>
  <si>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</si>
  <si>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</si>
  <si>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</si>
  <si>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</si>
  <si>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</si>
  <si>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</si>
  <si>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</si>
  <si>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</si>
  <si>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</si>
  <si>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</si>
  <si>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</si>
  <si>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</si>
  <si>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</si>
  <si>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</si>
  <si>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</si>
  <si>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</si>
  <si>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</si>
  <si>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</si>
  <si>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</si>
  <si>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</si>
  <si>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</si>
  <si>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</si>
  <si>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</si>
  <si>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</si>
  <si>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</si>
  <si>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</si>
  <si>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</si>
  <si>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</si>
  <si>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</si>
  <si>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</si>
  <si>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</si>
  <si>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</si>
  <si>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</si>
  <si>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</si>
  <si>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</si>
  <si>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</si>
  <si>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</si>
  <si>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</si>
  <si>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</si>
  <si>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</si>
  <si>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</si>
  <si>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</si>
  <si>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</si>
  <si>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</si>
  <si>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</si>
  <si>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</si>
  <si>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</si>
  <si>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</si>
  <si>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</si>
  <si>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</si>
  <si>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</si>
  <si>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</si>
  <si>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</si>
  <si>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</si>
  <si>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</si>
  <si>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</si>
  <si>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</si>
  <si>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</si>
  <si>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</si>
  <si>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</si>
  <si>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</si>
  <si>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</si>
  <si>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</si>
  <si>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</si>
  <si>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</si>
  <si>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</si>
  <si>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</si>
  <si>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</si>
  <si>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</si>
  <si>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</si>
  <si>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</si>
  <si>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</si>
  <si>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</si>
  <si>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</si>
  <si>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</si>
  <si>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</si>
  <si>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</si>
  <si>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</si>
  <si>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</si>
  <si>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</si>
  <si>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</si>
  <si>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</si>
  <si>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</si>
  <si>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</si>
  <si>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</si>
  <si>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</si>
  <si>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</si>
  <si>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</si>
  <si>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</si>
  <si>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</si>
  <si>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</si>
  <si>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</si>
  <si>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</si>
  <si>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</si>
  <si>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</si>
  <si>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</si>
  <si>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</si>
  <si>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</si>
  <si>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</si>
  <si>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</si>
  <si>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</si>
  <si>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</si>
  <si>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</si>
  <si>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</si>
  <si>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</si>
  <si>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</si>
  <si>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</si>
  <si>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</si>
  <si>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</si>
  <si>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</si>
  <si>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</si>
  <si>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</si>
  <si>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</si>
  <si>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</si>
  <si>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</si>
  <si>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</si>
  <si>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</si>
  <si>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</si>
  <si>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</si>
  <si>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</si>
  <si>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</si>
  <si>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</si>
  <si>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</si>
  <si>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</si>
  <si>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</si>
  <si>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</si>
  <si>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</si>
  <si>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</si>
  <si>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</si>
  <si>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</si>
  <si>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</si>
  <si>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</si>
  <si>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</si>
  <si>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</si>
  <si>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</si>
  <si>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</si>
  <si>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</si>
  <si>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</si>
  <si>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</si>
  <si>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</si>
  <si>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</si>
  <si>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</si>
  <si>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</si>
  <si>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</si>
  <si>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</si>
  <si>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</si>
  <si>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</si>
  <si>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</si>
  <si>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</si>
  <si>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</si>
  <si>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</si>
  <si>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</si>
  <si>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</si>
  <si>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</si>
  <si>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</si>
  <si>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</si>
  <si>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</si>
  <si>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</si>
  <si>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</si>
  <si>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</si>
  <si>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</si>
  <si>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</si>
  <si>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</si>
  <si>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</si>
  <si>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</si>
  <si>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</si>
  <si>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</si>
  <si>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</si>
  <si>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</si>
  <si>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</si>
  <si>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</si>
  <si>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</si>
  <si>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</si>
  <si>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</si>
  <si>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</si>
  <si>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</si>
  <si>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</si>
  <si>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</si>
  <si>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</si>
  <si>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</si>
  <si>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</si>
  <si>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</si>
  <si>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</si>
  <si>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</si>
  <si>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</si>
  <si>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</si>
  <si>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</si>
  <si>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</si>
  <si>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</si>
  <si>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</si>
  <si>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</si>
  <si>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</si>
  <si>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</si>
  <si>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</si>
  <si>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</si>
  <si>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</si>
  <si>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</si>
  <si>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</si>
  <si>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</si>
  <si>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</si>
  <si>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</si>
  <si>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</si>
  <si>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</si>
  <si>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</si>
  <si>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</si>
  <si>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</si>
  <si>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</si>
  <si>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</si>
  <si>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</si>
  <si>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</si>
  <si>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</si>
  <si>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</si>
  <si>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</si>
  <si>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</si>
  <si>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</si>
  <si>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</si>
  <si>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</si>
  <si>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</si>
  <si>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</si>
  <si>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</si>
  <si>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</si>
  <si>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</si>
  <si>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</si>
  <si>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</si>
  <si>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</si>
  <si>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</si>
  <si>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</si>
  <si>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</si>
  <si>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</si>
  <si>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</si>
  <si>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</si>
  <si>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</si>
  <si>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</si>
  <si>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</si>
  <si>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</si>
  <si>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</si>
  <si>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</si>
  <si>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</si>
  <si>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</si>
  <si>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</si>
  <si>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</si>
  <si>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</si>
  <si>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</si>
  <si>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</si>
  <si>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</si>
  <si>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</si>
  <si>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</si>
  <si>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</si>
  <si>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</si>
  <si>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</si>
  <si>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</si>
  <si>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</si>
  <si>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t>
  </si>
  <si>
    <t>Oct</t>
  </si>
  <si>
    <t>Nov</t>
  </si>
  <si>
    <t>Dec</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</si>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</sst>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855">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6A2D-4D89-BC41-9025116FD07B}"/>
            </c:ext>
          </c:extLst>
        </c:ser>
        <c:dLbls>
          <c:showLegendKey val="0"/>
          <c:showVal val="0"/>
          <c:showCatName val="0"/>
          <c:showSerName val="0"/>
          <c:showPercent val="0"/>
          <c:showBubbleSize val="0"/>
        </c:dLbls>
        <c:gapWidth val="150"/>
        <c:axId val="1982192463"/>
        <c:axId val="1982177103"/>
      </c:barChart>
      <c:catAx>
        <c:axId val="1982192463"/>
        <c:scaling>
          <c:orientation val="minMax"/>
        </c:scaling>
        <c:delete val="0"/>
        <c:axPos val="b"/>
        <c:numFmt formatCode="General" sourceLinked="1"/>
        <c:majorTickMark val="out"/>
        <c:minorTickMark val="none"/>
        <c:tickLblPos val="nextTo"/>
        <c:spPr>
          <a:ln>
            <a:solidFill>
              <a:srgbClr val="D2D2D2"/>
            </a:solidFill>
          </a:ln>
        </c:spPr>
        <c:crossAx val="1982177103"/>
        <c:crosses val="autoZero"/>
        <c:auto val="1"/>
        <c:lblAlgn val="ctr"/>
        <c:lblOffset val="100"/>
        <c:noMultiLvlLbl val="0"/>
      </c:catAx>
      <c:valAx>
        <c:axId val="198217710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82192463"/>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921375386156517E-2"/>
          <c:y val="0.14074066246440139"/>
          <c:w val="0.29666667169167932"/>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56B5-42E4-BD23-755F5134A0A6}"/>
              </c:ext>
            </c:extLst>
          </c:dPt>
          <c:dPt>
            <c:idx val="1"/>
            <c:bubble3D val="0"/>
            <c:spPr>
              <a:solidFill>
                <a:srgbClr val="84C637"/>
              </a:solidFill>
              <a:ln>
                <a:solidFill>
                  <a:srgbClr val="FFFFFF"/>
                </a:solidFill>
              </a:ln>
            </c:spPr>
            <c:extLst>
              <c:ext xmlns:c16="http://schemas.microsoft.com/office/drawing/2014/chart" uri="{C3380CC4-5D6E-409C-BE32-E72D297353CC}">
                <c16:uniqueId val="{00000002-56B5-42E4-BD23-755F5134A0A6}"/>
              </c:ext>
            </c:extLst>
          </c:dPt>
          <c:dPt>
            <c:idx val="2"/>
            <c:bubble3D val="0"/>
            <c:spPr>
              <a:solidFill>
                <a:srgbClr val="5DB13A"/>
              </a:solidFill>
              <a:ln>
                <a:solidFill>
                  <a:srgbClr val="FFFFFF"/>
                </a:solidFill>
              </a:ln>
            </c:spPr>
            <c:extLst>
              <c:ext xmlns:c16="http://schemas.microsoft.com/office/drawing/2014/chart" uri="{C3380CC4-5D6E-409C-BE32-E72D297353CC}">
                <c16:uniqueId val="{00000003-56B5-42E4-BD23-755F5134A0A6}"/>
              </c:ext>
            </c:extLst>
          </c:dPt>
          <c:dPt>
            <c:idx val="3"/>
            <c:bubble3D val="0"/>
            <c:spPr>
              <a:solidFill>
                <a:srgbClr val="168A96"/>
              </a:solidFill>
              <a:ln>
                <a:solidFill>
                  <a:srgbClr val="FFFFFF"/>
                </a:solidFill>
              </a:ln>
            </c:spPr>
            <c:extLst>
              <c:ext xmlns:c16="http://schemas.microsoft.com/office/drawing/2014/chart" uri="{C3380CC4-5D6E-409C-BE32-E72D297353CC}">
                <c16:uniqueId val="{00000004-56B5-42E4-BD23-755F5134A0A6}"/>
              </c:ext>
            </c:extLst>
          </c:dPt>
          <c:dPt>
            <c:idx val="4"/>
            <c:bubble3D val="0"/>
            <c:spPr>
              <a:solidFill>
                <a:srgbClr val="7030A0"/>
              </a:solidFill>
              <a:ln>
                <a:solidFill>
                  <a:srgbClr val="FFFFFF"/>
                </a:solidFill>
              </a:ln>
            </c:spPr>
            <c:extLst>
              <c:ext xmlns:c16="http://schemas.microsoft.com/office/drawing/2014/chart" uri="{C3380CC4-5D6E-409C-BE32-E72D297353CC}">
                <c16:uniqueId val="{00000005-56B5-42E4-BD23-755F5134A0A6}"/>
              </c:ext>
            </c:extLst>
          </c:dPt>
          <c:dPt>
            <c:idx val="5"/>
            <c:bubble3D val="0"/>
            <c:spPr>
              <a:solidFill>
                <a:srgbClr val="618724"/>
              </a:solidFill>
              <a:ln>
                <a:solidFill>
                  <a:srgbClr val="FFFFFF"/>
                </a:solidFill>
              </a:ln>
            </c:spPr>
            <c:extLst>
              <c:ext xmlns:c16="http://schemas.microsoft.com/office/drawing/2014/chart" uri="{C3380CC4-5D6E-409C-BE32-E72D297353CC}">
                <c16:uniqueId val="{00000006-56B5-42E4-BD23-755F5134A0A6}"/>
              </c:ext>
            </c:extLst>
          </c:dPt>
          <c:dPt>
            <c:idx val="6"/>
            <c:bubble3D val="0"/>
            <c:spPr>
              <a:solidFill>
                <a:srgbClr val="91A0AA"/>
              </a:solidFill>
              <a:ln>
                <a:solidFill>
                  <a:srgbClr val="FFFFFF"/>
                </a:solidFill>
              </a:ln>
            </c:spPr>
            <c:extLst>
              <c:ext xmlns:c16="http://schemas.microsoft.com/office/drawing/2014/chart" uri="{C3380CC4-5D6E-409C-BE32-E72D297353CC}">
                <c16:uniqueId val="{00000007-56B5-42E4-BD23-755F5134A0A6}"/>
              </c:ext>
            </c:extLst>
          </c:dPt>
          <c:dPt>
            <c:idx val="7"/>
            <c:bubble3D val="0"/>
            <c:spPr>
              <a:solidFill>
                <a:srgbClr val="ED7D31"/>
              </a:solidFill>
              <a:ln>
                <a:solidFill>
                  <a:srgbClr val="FFFFFF"/>
                </a:solidFill>
              </a:ln>
            </c:spPr>
            <c:extLst>
              <c:ext xmlns:c16="http://schemas.microsoft.com/office/drawing/2014/chart" uri="{C3380CC4-5D6E-409C-BE32-E72D297353CC}">
                <c16:uniqueId val="{00000008-56B5-42E4-BD23-755F5134A0A6}"/>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PK"/>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56B5-42E4-BD23-755F5134A0A6}"/>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5907620921589829"/>
          <c:y val="0.15043572844521794"/>
          <c:w val="0.440923753096507"/>
          <c:h val="0.72592587611370996"/>
        </c:manualLayout>
      </c:layout>
      <c:overlay val="0"/>
      <c:txPr>
        <a:bodyPr/>
        <a:lstStyle/>
        <a:p>
          <a:pPr>
            <a:defRPr sz="1200"/>
          </a:pPr>
          <a:endParaRPr lang="en-P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0AF2-4A67-BF21-11E2C614CAE2}"/>
            </c:ext>
          </c:extLst>
        </c:ser>
        <c:dLbls>
          <c:showLegendKey val="0"/>
          <c:showVal val="0"/>
          <c:showCatName val="0"/>
          <c:showSerName val="0"/>
          <c:showPercent val="0"/>
          <c:showBubbleSize val="0"/>
        </c:dLbls>
        <c:marker val="1"/>
        <c:smooth val="0"/>
        <c:axId val="1982182863"/>
        <c:axId val="1982183343"/>
      </c:lineChart>
      <c:catAx>
        <c:axId val="1982182863"/>
        <c:scaling>
          <c:orientation val="minMax"/>
        </c:scaling>
        <c:delete val="0"/>
        <c:axPos val="b"/>
        <c:numFmt formatCode="General" sourceLinked="1"/>
        <c:majorTickMark val="out"/>
        <c:minorTickMark val="none"/>
        <c:tickLblPos val="nextTo"/>
        <c:spPr>
          <a:ln>
            <a:solidFill>
              <a:srgbClr val="D2D2D2"/>
            </a:solidFill>
          </a:ln>
        </c:spPr>
        <c:crossAx val="1982183343"/>
        <c:crosses val="autoZero"/>
        <c:auto val="1"/>
        <c:lblAlgn val="ctr"/>
        <c:lblOffset val="100"/>
        <c:noMultiLvlLbl val="0"/>
      </c:catAx>
      <c:valAx>
        <c:axId val="198218334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82182863"/>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CEAC-4332-9D0B-B5289A536204}"/>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CEAC-4332-9D0B-B5289A536204}"/>
            </c:ext>
          </c:extLst>
        </c:ser>
        <c:dLbls>
          <c:showLegendKey val="0"/>
          <c:showVal val="0"/>
          <c:showCatName val="0"/>
          <c:showSerName val="0"/>
          <c:showPercent val="0"/>
          <c:showBubbleSize val="0"/>
        </c:dLbls>
        <c:gapWidth val="150"/>
        <c:axId val="1980822255"/>
        <c:axId val="1982186703"/>
      </c:barChart>
      <c:catAx>
        <c:axId val="1980822255"/>
        <c:scaling>
          <c:orientation val="minMax"/>
        </c:scaling>
        <c:delete val="0"/>
        <c:axPos val="b"/>
        <c:numFmt formatCode="General" sourceLinked="1"/>
        <c:majorTickMark val="out"/>
        <c:minorTickMark val="none"/>
        <c:tickLblPos val="nextTo"/>
        <c:spPr>
          <a:ln>
            <a:solidFill>
              <a:srgbClr val="D2D2D2"/>
            </a:solidFill>
          </a:ln>
        </c:spPr>
        <c:crossAx val="1982186703"/>
        <c:crosses val="autoZero"/>
        <c:auto val="1"/>
        <c:lblAlgn val="ctr"/>
        <c:lblOffset val="100"/>
        <c:noMultiLvlLbl val="0"/>
      </c:catAx>
      <c:valAx>
        <c:axId val="198218670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80822255"/>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BD09-4822-B0F3-C6FAF3C159F0}"/>
            </c:ext>
          </c:extLst>
        </c:ser>
        <c:dLbls>
          <c:showLegendKey val="0"/>
          <c:showVal val="0"/>
          <c:showCatName val="0"/>
          <c:showSerName val="0"/>
          <c:showPercent val="0"/>
          <c:showBubbleSize val="0"/>
        </c:dLbls>
        <c:gapWidth val="70"/>
        <c:axId val="2118983535"/>
        <c:axId val="2118980175"/>
      </c:barChart>
      <c:catAx>
        <c:axId val="2118983535"/>
        <c:scaling>
          <c:orientation val="minMax"/>
        </c:scaling>
        <c:delete val="0"/>
        <c:axPos val="l"/>
        <c:numFmt formatCode="General" sourceLinked="1"/>
        <c:majorTickMark val="out"/>
        <c:minorTickMark val="none"/>
        <c:tickLblPos val="nextTo"/>
        <c:spPr>
          <a:ln>
            <a:solidFill>
              <a:srgbClr val="D2D2D2"/>
            </a:solidFill>
          </a:ln>
        </c:spPr>
        <c:crossAx val="2118980175"/>
        <c:crosses val="autoZero"/>
        <c:auto val="1"/>
        <c:lblAlgn val="ctr"/>
        <c:lblOffset val="100"/>
        <c:noMultiLvlLbl val="0"/>
      </c:catAx>
      <c:valAx>
        <c:axId val="2118980175"/>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2118983535"/>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CF289E0E-FDA7-D3F0-44CD-215420AF870F}"/>
            </a:ext>
          </a:extLst>
        </xdr:cNvPr>
        <xdr:cNvSpPr/>
      </xdr:nvSpPr>
      <xdr:spPr>
        <a:xfrm>
          <a:off x="0" y="0"/>
          <a:ext cx="1600200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152400</xdr:colOff>
      <xdr:row>0</xdr:row>
      <xdr:rowOff>147638</xdr:rowOff>
    </xdr:from>
    <xdr:to>
      <xdr:col>1</xdr:col>
      <xdr:colOff>152400</xdr:colOff>
      <xdr:row>2</xdr:row>
      <xdr:rowOff>128588</xdr:rowOff>
    </xdr:to>
    <xdr:sp macro="" textlink="">
      <xdr:nvSpPr>
        <xdr:cNvPr id="3" name="Oval 2">
          <a:extLst>
            <a:ext uri="{FF2B5EF4-FFF2-40B4-BE49-F238E27FC236}">
              <a16:creationId xmlns:a16="http://schemas.microsoft.com/office/drawing/2014/main" id="{29F3AD91-C442-07DB-1762-AE945CFB20CE}"/>
            </a:ext>
          </a:extLst>
        </xdr:cNvPr>
        <xdr:cNvSpPr/>
      </xdr:nvSpPr>
      <xdr:spPr>
        <a:xfrm>
          <a:off x="152400" y="147638"/>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2200" b="1">
              <a:solidFill>
                <a:srgbClr val="FFFFFF"/>
              </a:solidFill>
            </a:rPr>
            <a:t>$</a:t>
          </a:r>
        </a:p>
      </xdr:txBody>
    </xdr:sp>
    <xdr:clientData/>
  </xdr:twoCellAnchor>
  <xdr:twoCellAnchor>
    <xdr:from>
      <xdr:col>1</xdr:col>
      <xdr:colOff>254000</xdr:colOff>
      <xdr:row>0</xdr:row>
      <xdr:rowOff>0</xdr:rowOff>
    </xdr:from>
    <xdr:to>
      <xdr:col>25</xdr:col>
      <xdr:colOff>25400</xdr:colOff>
      <xdr:row>3</xdr:row>
      <xdr:rowOff>0</xdr:rowOff>
    </xdr:to>
    <xdr:sp macro="" textlink="">
      <xdr:nvSpPr>
        <xdr:cNvPr id="4" name="TextBox 3">
          <a:extLst>
            <a:ext uri="{FF2B5EF4-FFF2-40B4-BE49-F238E27FC236}">
              <a16:creationId xmlns:a16="http://schemas.microsoft.com/office/drawing/2014/main" id="{5C909346-F90E-5F8A-0031-941792BE64CD}"/>
            </a:ext>
          </a:extLst>
        </xdr:cNvPr>
        <xdr:cNvSpPr txBox="1"/>
      </xdr:nvSpPr>
      <xdr:spPr>
        <a:xfrm>
          <a:off x="787400" y="0"/>
          <a:ext cx="1257300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endParaRPr lang="en-PK" sz="4400" b="1">
            <a:solidFill>
              <a:srgbClr val="FFFFFF"/>
            </a:solidFill>
          </a:endParaRPr>
        </a:p>
      </xdr:txBody>
    </xdr:sp>
    <xdr:clientData/>
  </xdr:twoCellAnchor>
  <xdr:twoCellAnchor>
    <xdr:from>
      <xdr:col>25</xdr:col>
      <xdr:colOff>127000</xdr:colOff>
      <xdr:row>0</xdr:row>
      <xdr:rowOff>50800</xdr:rowOff>
    </xdr:from>
    <xdr:to>
      <xdr:col>29</xdr:col>
      <xdr:colOff>406400</xdr:colOff>
      <xdr:row>2</xdr:row>
      <xdr:rowOff>225425</xdr:rowOff>
    </xdr:to>
    <xdr:sp macro="" textlink="">
      <xdr:nvSpPr>
        <xdr:cNvPr id="5" name="TextBox 4">
          <a:extLst>
            <a:ext uri="{FF2B5EF4-FFF2-40B4-BE49-F238E27FC236}">
              <a16:creationId xmlns:a16="http://schemas.microsoft.com/office/drawing/2014/main" id="{A43CC28A-F011-76A8-2FD7-77CADDAA193F}"/>
            </a:ext>
          </a:extLst>
        </xdr:cNvPr>
        <xdr:cNvSpPr txBox="1"/>
      </xdr:nvSpPr>
      <xdr:spPr>
        <a:xfrm>
          <a:off x="1346200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Aug 04, 2026</a:t>
          </a:r>
          <a:endParaRPr lang="en-PK" sz="1800" b="1">
            <a:solidFill>
              <a:srgbClr val="FFFFFF"/>
            </a:solidFill>
          </a:endParaRP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B417F051-B88C-7A3D-D813-87AB97D0310F}"/>
            </a:ext>
          </a:extLst>
        </xdr:cNvPr>
        <xdr:cNvSpPr/>
      </xdr:nvSpPr>
      <xdr:spPr>
        <a:xfrm>
          <a:off x="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0</xdr:col>
      <xdr:colOff>127000</xdr:colOff>
      <xdr:row>4</xdr:row>
      <xdr:rowOff>203200</xdr:rowOff>
    </xdr:from>
    <xdr:to>
      <xdr:col>1</xdr:col>
      <xdr:colOff>76200</xdr:colOff>
      <xdr:row>7</xdr:row>
      <xdr:rowOff>0</xdr:rowOff>
    </xdr:to>
    <xdr:sp macro="" textlink="">
      <xdr:nvSpPr>
        <xdr:cNvPr id="7" name="Oval 6">
          <a:extLst>
            <a:ext uri="{FF2B5EF4-FFF2-40B4-BE49-F238E27FC236}">
              <a16:creationId xmlns:a16="http://schemas.microsoft.com/office/drawing/2014/main" id="{62E00708-FC42-7CBF-8548-772D634CF5D8}"/>
            </a:ext>
          </a:extLst>
        </xdr:cNvPr>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1300" b="1">
              <a:solidFill>
                <a:srgbClr val="FFFFFF"/>
              </a:solidFill>
            </a:rPr>
            <a:t>$</a:t>
          </a:r>
        </a:p>
      </xdr:txBody>
    </xdr:sp>
    <xdr:clientData/>
  </xdr:twoCellAnchor>
  <xdr:twoCellAnchor>
    <xdr:from>
      <xdr:col>1</xdr:col>
      <xdr:colOff>152400</xdr:colOff>
      <xdr:row>4</xdr:row>
      <xdr:rowOff>101600</xdr:rowOff>
    </xdr:from>
    <xdr:to>
      <xdr:col>4</xdr:col>
      <xdr:colOff>482600</xdr:colOff>
      <xdr:row>5</xdr:row>
      <xdr:rowOff>152400</xdr:rowOff>
    </xdr:to>
    <xdr:sp macro="" textlink="">
      <xdr:nvSpPr>
        <xdr:cNvPr id="8" name="TextBox 7">
          <a:extLst>
            <a:ext uri="{FF2B5EF4-FFF2-40B4-BE49-F238E27FC236}">
              <a16:creationId xmlns:a16="http://schemas.microsoft.com/office/drawing/2014/main" id="{E6688509-B078-1AA4-53CE-CAA02D5B6C55}"/>
            </a:ext>
          </a:extLst>
        </xdr:cNvPr>
        <xdr:cNvSpPr txBox="1"/>
      </xdr:nvSpPr>
      <xdr:spPr>
        <a:xfrm>
          <a:off x="685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endParaRPr lang="en-PK" sz="1800" b="1">
            <a:solidFill>
              <a:srgbClr val="2D412D"/>
            </a:solidFill>
          </a:endParaRPr>
        </a:p>
      </xdr:txBody>
    </xdr:sp>
    <xdr:clientData/>
  </xdr:twoCellAnchor>
  <xdr:twoCellAnchor>
    <xdr:from>
      <xdr:col>1</xdr:col>
      <xdr:colOff>152400</xdr:colOff>
      <xdr:row>5</xdr:row>
      <xdr:rowOff>139700</xdr:rowOff>
    </xdr:from>
    <xdr:to>
      <xdr:col>4</xdr:col>
      <xdr:colOff>482600</xdr:colOff>
      <xdr:row>7</xdr:row>
      <xdr:rowOff>114300</xdr:rowOff>
    </xdr:to>
    <xdr:sp macro="" textlink="Dashboard!$AF$2">
      <xdr:nvSpPr>
        <xdr:cNvPr id="9" name="TextBox 8">
          <a:extLst>
            <a:ext uri="{FF2B5EF4-FFF2-40B4-BE49-F238E27FC236}">
              <a16:creationId xmlns:a16="http://schemas.microsoft.com/office/drawing/2014/main" id="{45AD07BF-8F9F-B5A8-B4A0-AAFBB8841C55}"/>
            </a:ext>
          </a:extLst>
        </xdr:cNvPr>
        <xdr:cNvSpPr txBox="1"/>
      </xdr:nvSpPr>
      <xdr:spPr>
        <a:xfrm>
          <a:off x="685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93FFDD7-7F59-4423-9ADF-C95FA20ADADE}" type="TxLink">
            <a:rPr lang="en-US" sz="2800" b="1" i="0" u="none" strike="noStrike">
              <a:solidFill>
                <a:srgbClr val="054A19"/>
              </a:solidFill>
              <a:latin typeface="Aptos"/>
            </a:rPr>
            <a:t>18,405K</a:t>
          </a:fld>
          <a:endParaRPr lang="en-PK" sz="2800" b="1">
            <a:solidFill>
              <a:srgbClr val="054A19"/>
            </a:solidFill>
          </a:endParaRPr>
        </a:p>
      </xdr:txBody>
    </xdr:sp>
    <xdr:clientData/>
  </xdr:twoCellAnchor>
  <xdr:twoCellAnchor>
    <xdr:from>
      <xdr:col>1</xdr:col>
      <xdr:colOff>152400</xdr:colOff>
      <xdr:row>7</xdr:row>
      <xdr:rowOff>50800</xdr:rowOff>
    </xdr:from>
    <xdr:to>
      <xdr:col>4</xdr:col>
      <xdr:colOff>482600</xdr:colOff>
      <xdr:row>7</xdr:row>
      <xdr:rowOff>215900</xdr:rowOff>
    </xdr:to>
    <xdr:sp macro="" textlink="">
      <xdr:nvSpPr>
        <xdr:cNvPr id="10" name="TextBox 9">
          <a:extLst>
            <a:ext uri="{FF2B5EF4-FFF2-40B4-BE49-F238E27FC236}">
              <a16:creationId xmlns:a16="http://schemas.microsoft.com/office/drawing/2014/main" id="{2855F0BD-8F8D-05BA-0202-27FBDF8477A4}"/>
            </a:ext>
          </a:extLst>
        </xdr:cNvPr>
        <xdr:cNvSpPr txBox="1"/>
      </xdr:nvSpPr>
      <xdr:spPr>
        <a:xfrm>
          <a:off x="685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endParaRPr lang="en-PK" sz="800">
            <a:solidFill>
              <a:srgbClr val="505F50"/>
            </a:solidFill>
          </a:endParaRP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37648532-448E-E5AB-44DB-4668807AAFDB}"/>
            </a:ext>
          </a:extLst>
        </xdr:cNvPr>
        <xdr:cNvSpPr/>
      </xdr:nvSpPr>
      <xdr:spPr>
        <a:xfrm>
          <a:off x="2667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5</xdr:col>
      <xdr:colOff>127000</xdr:colOff>
      <xdr:row>4</xdr:row>
      <xdr:rowOff>203200</xdr:rowOff>
    </xdr:from>
    <xdr:to>
      <xdr:col>6</xdr:col>
      <xdr:colOff>76200</xdr:colOff>
      <xdr:row>7</xdr:row>
      <xdr:rowOff>0</xdr:rowOff>
    </xdr:to>
    <xdr:sp macro="" textlink="">
      <xdr:nvSpPr>
        <xdr:cNvPr id="12" name="Oval 11">
          <a:extLst>
            <a:ext uri="{FF2B5EF4-FFF2-40B4-BE49-F238E27FC236}">
              <a16:creationId xmlns:a16="http://schemas.microsoft.com/office/drawing/2014/main" id="{372A99B6-AB22-571B-7806-67C9E4FD1FAB}"/>
            </a:ext>
          </a:extLst>
        </xdr:cNvPr>
        <xdr:cNvSpPr/>
      </xdr:nvSpPr>
      <xdr:spPr>
        <a:xfrm>
          <a:off x="2794000"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1300" b="1">
              <a:solidFill>
                <a:srgbClr val="FFFFFF"/>
              </a:solidFill>
            </a:rPr>
            <a:t>%</a:t>
          </a:r>
        </a:p>
      </xdr:txBody>
    </xdr:sp>
    <xdr:clientData/>
  </xdr:twoCellAnchor>
  <xdr:twoCellAnchor>
    <xdr:from>
      <xdr:col>6</xdr:col>
      <xdr:colOff>152400</xdr:colOff>
      <xdr:row>4</xdr:row>
      <xdr:rowOff>101600</xdr:rowOff>
    </xdr:from>
    <xdr:to>
      <xdr:col>9</xdr:col>
      <xdr:colOff>482600</xdr:colOff>
      <xdr:row>5</xdr:row>
      <xdr:rowOff>152400</xdr:rowOff>
    </xdr:to>
    <xdr:sp macro="" textlink="">
      <xdr:nvSpPr>
        <xdr:cNvPr id="13" name="TextBox 12">
          <a:extLst>
            <a:ext uri="{FF2B5EF4-FFF2-40B4-BE49-F238E27FC236}">
              <a16:creationId xmlns:a16="http://schemas.microsoft.com/office/drawing/2014/main" id="{8BD87CE1-FD7F-84FB-7B78-2D62868BEEE9}"/>
            </a:ext>
          </a:extLst>
        </xdr:cNvPr>
        <xdr:cNvSpPr txBox="1"/>
      </xdr:nvSpPr>
      <xdr:spPr>
        <a:xfrm>
          <a:off x="3352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endParaRPr lang="en-PK" sz="1800" b="1">
            <a:solidFill>
              <a:srgbClr val="2D412D"/>
            </a:solidFill>
          </a:endParaRPr>
        </a:p>
      </xdr:txBody>
    </xdr:sp>
    <xdr:clientData/>
  </xdr:twoCellAnchor>
  <xdr:twoCellAnchor>
    <xdr:from>
      <xdr:col>6</xdr:col>
      <xdr:colOff>152400</xdr:colOff>
      <xdr:row>5</xdr:row>
      <xdr:rowOff>139700</xdr:rowOff>
    </xdr:from>
    <xdr:to>
      <xdr:col>9</xdr:col>
      <xdr:colOff>482600</xdr:colOff>
      <xdr:row>7</xdr:row>
      <xdr:rowOff>114300</xdr:rowOff>
    </xdr:to>
    <xdr:sp macro="" textlink="Dashboard!$AF$3">
      <xdr:nvSpPr>
        <xdr:cNvPr id="14" name="TextBox 13">
          <a:extLst>
            <a:ext uri="{FF2B5EF4-FFF2-40B4-BE49-F238E27FC236}">
              <a16:creationId xmlns:a16="http://schemas.microsoft.com/office/drawing/2014/main" id="{B404971D-BDD0-5651-D240-8FE7A1345C82}"/>
            </a:ext>
          </a:extLst>
        </xdr:cNvPr>
        <xdr:cNvSpPr txBox="1"/>
      </xdr:nvSpPr>
      <xdr:spPr>
        <a:xfrm>
          <a:off x="3352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4B7780F-7691-4553-9B5D-BBF39CECEEE5}" type="TxLink">
            <a:rPr lang="en-US" sz="2800" b="1" i="0" u="none" strike="noStrike">
              <a:solidFill>
                <a:srgbClr val="054A19"/>
              </a:solidFill>
              <a:latin typeface="Aptos"/>
            </a:rPr>
            <a:t>22,954K</a:t>
          </a:fld>
          <a:endParaRPr lang="en-PK" sz="2800" b="1">
            <a:solidFill>
              <a:srgbClr val="054A19"/>
            </a:solidFill>
          </a:endParaRPr>
        </a:p>
      </xdr:txBody>
    </xdr:sp>
    <xdr:clientData/>
  </xdr:twoCellAnchor>
  <xdr:twoCellAnchor>
    <xdr:from>
      <xdr:col>6</xdr:col>
      <xdr:colOff>152400</xdr:colOff>
      <xdr:row>7</xdr:row>
      <xdr:rowOff>50800</xdr:rowOff>
    </xdr:from>
    <xdr:to>
      <xdr:col>9</xdr:col>
      <xdr:colOff>482600</xdr:colOff>
      <xdr:row>7</xdr:row>
      <xdr:rowOff>215900</xdr:rowOff>
    </xdr:to>
    <xdr:sp macro="" textlink="">
      <xdr:nvSpPr>
        <xdr:cNvPr id="15" name="TextBox 14">
          <a:extLst>
            <a:ext uri="{FF2B5EF4-FFF2-40B4-BE49-F238E27FC236}">
              <a16:creationId xmlns:a16="http://schemas.microsoft.com/office/drawing/2014/main" id="{87BEF4BB-785D-7301-D00E-0F3A7CC5F1A0}"/>
            </a:ext>
          </a:extLst>
        </xdr:cNvPr>
        <xdr:cNvSpPr txBox="1"/>
      </xdr:nvSpPr>
      <xdr:spPr>
        <a:xfrm>
          <a:off x="3352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endParaRPr lang="en-PK" sz="800">
            <a:solidFill>
              <a:srgbClr val="505F50"/>
            </a:solidFill>
          </a:endParaRP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2995918F-DE76-371D-A961-96A3E59A8576}"/>
            </a:ext>
          </a:extLst>
        </xdr:cNvPr>
        <xdr:cNvSpPr/>
      </xdr:nvSpPr>
      <xdr:spPr>
        <a:xfrm>
          <a:off x="5334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10</xdr:col>
      <xdr:colOff>127000</xdr:colOff>
      <xdr:row>4</xdr:row>
      <xdr:rowOff>203200</xdr:rowOff>
    </xdr:from>
    <xdr:to>
      <xdr:col>11</xdr:col>
      <xdr:colOff>76200</xdr:colOff>
      <xdr:row>7</xdr:row>
      <xdr:rowOff>0</xdr:rowOff>
    </xdr:to>
    <xdr:sp macro="" textlink="">
      <xdr:nvSpPr>
        <xdr:cNvPr id="17" name="Oval 16">
          <a:extLst>
            <a:ext uri="{FF2B5EF4-FFF2-40B4-BE49-F238E27FC236}">
              <a16:creationId xmlns:a16="http://schemas.microsoft.com/office/drawing/2014/main" id="{33AB3689-657B-CCF0-2929-4BF94E205A9E}"/>
            </a:ext>
          </a:extLst>
        </xdr:cNvPr>
        <xdr:cNvSpPr/>
      </xdr:nvSpPr>
      <xdr:spPr>
        <a:xfrm>
          <a:off x="546100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1300" b="1">
              <a:solidFill>
                <a:srgbClr val="FFFFFF"/>
              </a:solidFill>
            </a:rPr>
            <a:t>$</a:t>
          </a:r>
        </a:p>
      </xdr:txBody>
    </xdr:sp>
    <xdr:clientData/>
  </xdr:twoCellAnchor>
  <xdr:twoCellAnchor>
    <xdr:from>
      <xdr:col>11</xdr:col>
      <xdr:colOff>152400</xdr:colOff>
      <xdr:row>4</xdr:row>
      <xdr:rowOff>101600</xdr:rowOff>
    </xdr:from>
    <xdr:to>
      <xdr:col>14</xdr:col>
      <xdr:colOff>482600</xdr:colOff>
      <xdr:row>5</xdr:row>
      <xdr:rowOff>152400</xdr:rowOff>
    </xdr:to>
    <xdr:sp macro="" textlink="">
      <xdr:nvSpPr>
        <xdr:cNvPr id="18" name="TextBox 17">
          <a:extLst>
            <a:ext uri="{FF2B5EF4-FFF2-40B4-BE49-F238E27FC236}">
              <a16:creationId xmlns:a16="http://schemas.microsoft.com/office/drawing/2014/main" id="{037E935D-A969-9A74-0701-5D5053BDE68B}"/>
            </a:ext>
          </a:extLst>
        </xdr:cNvPr>
        <xdr:cNvSpPr txBox="1"/>
      </xdr:nvSpPr>
      <xdr:spPr>
        <a:xfrm>
          <a:off x="6019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endParaRPr lang="en-PK" sz="1800" b="1">
            <a:solidFill>
              <a:srgbClr val="2D412D"/>
            </a:solidFill>
          </a:endParaRPr>
        </a:p>
      </xdr:txBody>
    </xdr:sp>
    <xdr:clientData/>
  </xdr:twoCellAnchor>
  <xdr:twoCellAnchor>
    <xdr:from>
      <xdr:col>11</xdr:col>
      <xdr:colOff>152400</xdr:colOff>
      <xdr:row>5</xdr:row>
      <xdr:rowOff>139700</xdr:rowOff>
    </xdr:from>
    <xdr:to>
      <xdr:col>14</xdr:col>
      <xdr:colOff>482600</xdr:colOff>
      <xdr:row>7</xdr:row>
      <xdr:rowOff>114300</xdr:rowOff>
    </xdr:to>
    <xdr:sp macro="" textlink="Dashboard!$AF$4">
      <xdr:nvSpPr>
        <xdr:cNvPr id="19" name="TextBox 18">
          <a:extLst>
            <a:ext uri="{FF2B5EF4-FFF2-40B4-BE49-F238E27FC236}">
              <a16:creationId xmlns:a16="http://schemas.microsoft.com/office/drawing/2014/main" id="{BA6C7155-BDF6-B84B-19EE-AB2307943AD1}"/>
            </a:ext>
          </a:extLst>
        </xdr:cNvPr>
        <xdr:cNvSpPr txBox="1"/>
      </xdr:nvSpPr>
      <xdr:spPr>
        <a:xfrm>
          <a:off x="6019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C4E7CB98-6FC4-4091-A3B9-2C7B1BACAD9B}" type="TxLink">
            <a:rPr lang="en-US" sz="2800" b="1" i="0" u="none" strike="noStrike">
              <a:solidFill>
                <a:srgbClr val="054A19"/>
              </a:solidFill>
              <a:latin typeface="Aptos"/>
            </a:rPr>
            <a:t>4,549K</a:t>
          </a:fld>
          <a:endParaRPr lang="en-PK" sz="2800" b="1">
            <a:solidFill>
              <a:srgbClr val="054A19"/>
            </a:solidFill>
          </a:endParaRPr>
        </a:p>
      </xdr:txBody>
    </xdr:sp>
    <xdr:clientData/>
  </xdr:twoCellAnchor>
  <xdr:twoCellAnchor>
    <xdr:from>
      <xdr:col>11</xdr:col>
      <xdr:colOff>152400</xdr:colOff>
      <xdr:row>7</xdr:row>
      <xdr:rowOff>50800</xdr:rowOff>
    </xdr:from>
    <xdr:to>
      <xdr:col>14</xdr:col>
      <xdr:colOff>482600</xdr:colOff>
      <xdr:row>7</xdr:row>
      <xdr:rowOff>215900</xdr:rowOff>
    </xdr:to>
    <xdr:sp macro="" textlink="">
      <xdr:nvSpPr>
        <xdr:cNvPr id="20" name="TextBox 19">
          <a:extLst>
            <a:ext uri="{FF2B5EF4-FFF2-40B4-BE49-F238E27FC236}">
              <a16:creationId xmlns:a16="http://schemas.microsoft.com/office/drawing/2014/main" id="{6DEAD25B-2EE6-11A6-4EE9-3916D4928F37}"/>
            </a:ext>
          </a:extLst>
        </xdr:cNvPr>
        <xdr:cNvSpPr txBox="1"/>
      </xdr:nvSpPr>
      <xdr:spPr>
        <a:xfrm>
          <a:off x="6019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endParaRPr lang="en-PK" sz="800">
            <a:solidFill>
              <a:srgbClr val="505F50"/>
            </a:solidFill>
          </a:endParaRP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B0DE1B1F-FD6B-AD18-D04C-114F01B1159F}"/>
            </a:ext>
          </a:extLst>
        </xdr:cNvPr>
        <xdr:cNvSpPr/>
      </xdr:nvSpPr>
      <xdr:spPr>
        <a:xfrm>
          <a:off x="8001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15</xdr:col>
      <xdr:colOff>127000</xdr:colOff>
      <xdr:row>4</xdr:row>
      <xdr:rowOff>203200</xdr:rowOff>
    </xdr:from>
    <xdr:to>
      <xdr:col>16</xdr:col>
      <xdr:colOff>76200</xdr:colOff>
      <xdr:row>7</xdr:row>
      <xdr:rowOff>0</xdr:rowOff>
    </xdr:to>
    <xdr:sp macro="" textlink="">
      <xdr:nvSpPr>
        <xdr:cNvPr id="22" name="Oval 21">
          <a:extLst>
            <a:ext uri="{FF2B5EF4-FFF2-40B4-BE49-F238E27FC236}">
              <a16:creationId xmlns:a16="http://schemas.microsoft.com/office/drawing/2014/main" id="{82624275-F6D5-AB95-3166-88E0702D38B9}"/>
            </a:ext>
          </a:extLst>
        </xdr:cNvPr>
        <xdr:cNvSpPr/>
      </xdr:nvSpPr>
      <xdr:spPr>
        <a:xfrm>
          <a:off x="8128000"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1300" b="1">
              <a:solidFill>
                <a:srgbClr val="FFFFFF"/>
              </a:solidFill>
            </a:rPr>
            <a:t>#</a:t>
          </a:r>
        </a:p>
      </xdr:txBody>
    </xdr:sp>
    <xdr:clientData/>
  </xdr:twoCellAnchor>
  <xdr:twoCellAnchor>
    <xdr:from>
      <xdr:col>16</xdr:col>
      <xdr:colOff>152400</xdr:colOff>
      <xdr:row>4</xdr:row>
      <xdr:rowOff>101600</xdr:rowOff>
    </xdr:from>
    <xdr:to>
      <xdr:col>19</xdr:col>
      <xdr:colOff>482600</xdr:colOff>
      <xdr:row>5</xdr:row>
      <xdr:rowOff>152400</xdr:rowOff>
    </xdr:to>
    <xdr:sp macro="" textlink="">
      <xdr:nvSpPr>
        <xdr:cNvPr id="23" name="TextBox 22">
          <a:extLst>
            <a:ext uri="{FF2B5EF4-FFF2-40B4-BE49-F238E27FC236}">
              <a16:creationId xmlns:a16="http://schemas.microsoft.com/office/drawing/2014/main" id="{418AB489-17A4-5F2D-8EE9-09CEF569A806}"/>
            </a:ext>
          </a:extLst>
        </xdr:cNvPr>
        <xdr:cNvSpPr txBox="1"/>
      </xdr:nvSpPr>
      <xdr:spPr>
        <a:xfrm>
          <a:off x="8686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endParaRPr lang="en-PK" sz="1800" b="1">
            <a:solidFill>
              <a:srgbClr val="2D412D"/>
            </a:solidFill>
          </a:endParaRPr>
        </a:p>
      </xdr:txBody>
    </xdr:sp>
    <xdr:clientData/>
  </xdr:twoCellAnchor>
  <xdr:twoCellAnchor>
    <xdr:from>
      <xdr:col>16</xdr:col>
      <xdr:colOff>152400</xdr:colOff>
      <xdr:row>5</xdr:row>
      <xdr:rowOff>139700</xdr:rowOff>
    </xdr:from>
    <xdr:to>
      <xdr:col>19</xdr:col>
      <xdr:colOff>482600</xdr:colOff>
      <xdr:row>7</xdr:row>
      <xdr:rowOff>114300</xdr:rowOff>
    </xdr:to>
    <xdr:sp macro="" textlink="Dashboard!$AF$5">
      <xdr:nvSpPr>
        <xdr:cNvPr id="24" name="TextBox 23">
          <a:extLst>
            <a:ext uri="{FF2B5EF4-FFF2-40B4-BE49-F238E27FC236}">
              <a16:creationId xmlns:a16="http://schemas.microsoft.com/office/drawing/2014/main" id="{1FA1E54E-0DC6-0790-1A74-93EFC5FC7B52}"/>
            </a:ext>
          </a:extLst>
        </xdr:cNvPr>
        <xdr:cNvSpPr txBox="1"/>
      </xdr:nvSpPr>
      <xdr:spPr>
        <a:xfrm>
          <a:off x="8686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4636E4C-1E8B-407C-B850-121CFA90E06D}" type="TxLink">
            <a:rPr lang="en-US" sz="2800" b="1" i="0" u="none" strike="noStrike">
              <a:solidFill>
                <a:srgbClr val="054A19"/>
              </a:solidFill>
              <a:latin typeface="Aptos"/>
            </a:rPr>
            <a:t>415</a:t>
          </a:fld>
          <a:endParaRPr lang="en-PK" sz="2800" b="1">
            <a:solidFill>
              <a:srgbClr val="054A19"/>
            </a:solidFill>
          </a:endParaRPr>
        </a:p>
      </xdr:txBody>
    </xdr:sp>
    <xdr:clientData/>
  </xdr:twoCellAnchor>
  <xdr:twoCellAnchor>
    <xdr:from>
      <xdr:col>16</xdr:col>
      <xdr:colOff>152400</xdr:colOff>
      <xdr:row>7</xdr:row>
      <xdr:rowOff>50800</xdr:rowOff>
    </xdr:from>
    <xdr:to>
      <xdr:col>19</xdr:col>
      <xdr:colOff>482600</xdr:colOff>
      <xdr:row>7</xdr:row>
      <xdr:rowOff>215900</xdr:rowOff>
    </xdr:to>
    <xdr:sp macro="" textlink="">
      <xdr:nvSpPr>
        <xdr:cNvPr id="25" name="TextBox 24">
          <a:extLst>
            <a:ext uri="{FF2B5EF4-FFF2-40B4-BE49-F238E27FC236}">
              <a16:creationId xmlns:a16="http://schemas.microsoft.com/office/drawing/2014/main" id="{5A6705AE-94EB-7C89-4805-EFD8C7D3C40E}"/>
            </a:ext>
          </a:extLst>
        </xdr:cNvPr>
        <xdr:cNvSpPr txBox="1"/>
      </xdr:nvSpPr>
      <xdr:spPr>
        <a:xfrm>
          <a:off x="8686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endParaRPr lang="en-PK" sz="800">
            <a:solidFill>
              <a:srgbClr val="505F50"/>
            </a:solidFill>
          </a:endParaRP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C6E083CC-5DB1-8347-EF48-AF840AE8A30E}"/>
            </a:ext>
          </a:extLst>
        </xdr:cNvPr>
        <xdr:cNvSpPr/>
      </xdr:nvSpPr>
      <xdr:spPr>
        <a:xfrm>
          <a:off x="10668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20</xdr:col>
      <xdr:colOff>127000</xdr:colOff>
      <xdr:row>4</xdr:row>
      <xdr:rowOff>203200</xdr:rowOff>
    </xdr:from>
    <xdr:to>
      <xdr:col>21</xdr:col>
      <xdr:colOff>76200</xdr:colOff>
      <xdr:row>7</xdr:row>
      <xdr:rowOff>0</xdr:rowOff>
    </xdr:to>
    <xdr:sp macro="" textlink="">
      <xdr:nvSpPr>
        <xdr:cNvPr id="27" name="Oval 26">
          <a:extLst>
            <a:ext uri="{FF2B5EF4-FFF2-40B4-BE49-F238E27FC236}">
              <a16:creationId xmlns:a16="http://schemas.microsoft.com/office/drawing/2014/main" id="{F7B6BF95-1F1E-C8E4-B56A-FC563754A683}"/>
            </a:ext>
          </a:extLst>
        </xdr:cNvPr>
        <xdr:cNvSpPr/>
      </xdr:nvSpPr>
      <xdr:spPr>
        <a:xfrm>
          <a:off x="107950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endParaRPr lang="en-PK" sz="1300" b="1">
            <a:solidFill>
              <a:srgbClr val="FFFFFF"/>
            </a:solidFill>
          </a:endParaRPr>
        </a:p>
      </xdr:txBody>
    </xdr:sp>
    <xdr:clientData/>
  </xdr:twoCellAnchor>
  <xdr:twoCellAnchor>
    <xdr:from>
      <xdr:col>21</xdr:col>
      <xdr:colOff>152400</xdr:colOff>
      <xdr:row>4</xdr:row>
      <xdr:rowOff>101600</xdr:rowOff>
    </xdr:from>
    <xdr:to>
      <xdr:col>24</xdr:col>
      <xdr:colOff>482600</xdr:colOff>
      <xdr:row>5</xdr:row>
      <xdr:rowOff>152400</xdr:rowOff>
    </xdr:to>
    <xdr:sp macro="" textlink="">
      <xdr:nvSpPr>
        <xdr:cNvPr id="28" name="TextBox 27">
          <a:extLst>
            <a:ext uri="{FF2B5EF4-FFF2-40B4-BE49-F238E27FC236}">
              <a16:creationId xmlns:a16="http://schemas.microsoft.com/office/drawing/2014/main" id="{DFD2D5D9-4B2D-5817-E0E2-DE1882E7F710}"/>
            </a:ext>
          </a:extLst>
        </xdr:cNvPr>
        <xdr:cNvSpPr txBox="1"/>
      </xdr:nvSpPr>
      <xdr:spPr>
        <a:xfrm>
          <a:off x="11353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endParaRPr lang="en-PK" sz="1800" b="1">
            <a:solidFill>
              <a:srgbClr val="2D412D"/>
            </a:solidFill>
          </a:endParaRPr>
        </a:p>
      </xdr:txBody>
    </xdr:sp>
    <xdr:clientData/>
  </xdr:twoCellAnchor>
  <xdr:twoCellAnchor>
    <xdr:from>
      <xdr:col>21</xdr:col>
      <xdr:colOff>152400</xdr:colOff>
      <xdr:row>5</xdr:row>
      <xdr:rowOff>139700</xdr:rowOff>
    </xdr:from>
    <xdr:to>
      <xdr:col>24</xdr:col>
      <xdr:colOff>482600</xdr:colOff>
      <xdr:row>7</xdr:row>
      <xdr:rowOff>114300</xdr:rowOff>
    </xdr:to>
    <xdr:sp macro="" textlink="Dashboard!$AF$6">
      <xdr:nvSpPr>
        <xdr:cNvPr id="29" name="TextBox 28">
          <a:extLst>
            <a:ext uri="{FF2B5EF4-FFF2-40B4-BE49-F238E27FC236}">
              <a16:creationId xmlns:a16="http://schemas.microsoft.com/office/drawing/2014/main" id="{D16006F7-0CC1-BF7C-6CF8-BCCCCEEE3E81}"/>
            </a:ext>
          </a:extLst>
        </xdr:cNvPr>
        <xdr:cNvSpPr txBox="1"/>
      </xdr:nvSpPr>
      <xdr:spPr>
        <a:xfrm>
          <a:off x="11353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B432DD1-CC03-4734-97FD-A33EC2408367}" type="TxLink">
            <a:rPr lang="en-US" sz="2800" b="1" i="0" u="none" strike="noStrike">
              <a:solidFill>
                <a:srgbClr val="054A19"/>
              </a:solidFill>
              <a:latin typeface="Aptos"/>
            </a:rPr>
            <a:t>81.4%</a:t>
          </a:fld>
          <a:endParaRPr lang="en-PK" sz="2800" b="1">
            <a:solidFill>
              <a:srgbClr val="054A19"/>
            </a:solidFill>
          </a:endParaRPr>
        </a:p>
      </xdr:txBody>
    </xdr:sp>
    <xdr:clientData/>
  </xdr:twoCellAnchor>
  <xdr:twoCellAnchor>
    <xdr:from>
      <xdr:col>21</xdr:col>
      <xdr:colOff>152400</xdr:colOff>
      <xdr:row>7</xdr:row>
      <xdr:rowOff>50800</xdr:rowOff>
    </xdr:from>
    <xdr:to>
      <xdr:col>24</xdr:col>
      <xdr:colOff>482600</xdr:colOff>
      <xdr:row>7</xdr:row>
      <xdr:rowOff>215900</xdr:rowOff>
    </xdr:to>
    <xdr:sp macro="" textlink="">
      <xdr:nvSpPr>
        <xdr:cNvPr id="30" name="TextBox 29">
          <a:extLst>
            <a:ext uri="{FF2B5EF4-FFF2-40B4-BE49-F238E27FC236}">
              <a16:creationId xmlns:a16="http://schemas.microsoft.com/office/drawing/2014/main" id="{E1A7F74D-E47A-DF26-4B0D-DB83BADE8157}"/>
            </a:ext>
          </a:extLst>
        </xdr:cNvPr>
        <xdr:cNvSpPr txBox="1"/>
      </xdr:nvSpPr>
      <xdr:spPr>
        <a:xfrm>
          <a:off x="11353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endParaRPr lang="en-PK" sz="800">
            <a:solidFill>
              <a:srgbClr val="505F50"/>
            </a:solidFill>
          </a:endParaRP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0F712DD8-E0C8-AA20-B2EB-9970C6CCF5A9}"/>
            </a:ext>
          </a:extLst>
        </xdr:cNvPr>
        <xdr:cNvSpPr/>
      </xdr:nvSpPr>
      <xdr:spPr>
        <a:xfrm>
          <a:off x="13335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xdr:twoCellAnchor>
    <xdr:from>
      <xdr:col>25</xdr:col>
      <xdr:colOff>127000</xdr:colOff>
      <xdr:row>4</xdr:row>
      <xdr:rowOff>203200</xdr:rowOff>
    </xdr:from>
    <xdr:to>
      <xdr:col>26</xdr:col>
      <xdr:colOff>76200</xdr:colOff>
      <xdr:row>7</xdr:row>
      <xdr:rowOff>0</xdr:rowOff>
    </xdr:to>
    <xdr:sp macro="" textlink="">
      <xdr:nvSpPr>
        <xdr:cNvPr id="32" name="Oval 31">
          <a:extLst>
            <a:ext uri="{FF2B5EF4-FFF2-40B4-BE49-F238E27FC236}">
              <a16:creationId xmlns:a16="http://schemas.microsoft.com/office/drawing/2014/main" id="{956140CB-3B3C-4D4B-511E-9A2B66491761}"/>
            </a:ext>
          </a:extLst>
        </xdr:cNvPr>
        <xdr:cNvSpPr/>
      </xdr:nvSpPr>
      <xdr:spPr>
        <a:xfrm>
          <a:off x="13462000"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K" sz="1300" b="1">
              <a:solidFill>
                <a:srgbClr val="FFFFFF"/>
              </a:solidFill>
            </a:rPr>
            <a:t>^</a:t>
          </a:r>
        </a:p>
      </xdr:txBody>
    </xdr:sp>
    <xdr:clientData/>
  </xdr:twoCellAnchor>
  <xdr:twoCellAnchor>
    <xdr:from>
      <xdr:col>26</xdr:col>
      <xdr:colOff>152400</xdr:colOff>
      <xdr:row>4</xdr:row>
      <xdr:rowOff>101600</xdr:rowOff>
    </xdr:from>
    <xdr:to>
      <xdr:col>29</xdr:col>
      <xdr:colOff>482600</xdr:colOff>
      <xdr:row>5</xdr:row>
      <xdr:rowOff>152400</xdr:rowOff>
    </xdr:to>
    <xdr:sp macro="" textlink="">
      <xdr:nvSpPr>
        <xdr:cNvPr id="33" name="TextBox 32">
          <a:extLst>
            <a:ext uri="{FF2B5EF4-FFF2-40B4-BE49-F238E27FC236}">
              <a16:creationId xmlns:a16="http://schemas.microsoft.com/office/drawing/2014/main" id="{7FB269BA-0E1F-7296-5E73-CA72E043BC2E}"/>
            </a:ext>
          </a:extLst>
        </xdr:cNvPr>
        <xdr:cNvSpPr txBox="1"/>
      </xdr:nvSpPr>
      <xdr:spPr>
        <a:xfrm>
          <a:off x="14020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endParaRPr lang="en-PK" sz="1800" b="1">
            <a:solidFill>
              <a:srgbClr val="2D412D"/>
            </a:solidFill>
          </a:endParaRPr>
        </a:p>
      </xdr:txBody>
    </xdr:sp>
    <xdr:clientData/>
  </xdr:twoCellAnchor>
  <xdr:twoCellAnchor>
    <xdr:from>
      <xdr:col>26</xdr:col>
      <xdr:colOff>152400</xdr:colOff>
      <xdr:row>5</xdr:row>
      <xdr:rowOff>139700</xdr:rowOff>
    </xdr:from>
    <xdr:to>
      <xdr:col>29</xdr:col>
      <xdr:colOff>482600</xdr:colOff>
      <xdr:row>7</xdr:row>
      <xdr:rowOff>114300</xdr:rowOff>
    </xdr:to>
    <xdr:sp macro="" textlink="Dashboard!$AF$7">
      <xdr:nvSpPr>
        <xdr:cNvPr id="34" name="TextBox 33">
          <a:extLst>
            <a:ext uri="{FF2B5EF4-FFF2-40B4-BE49-F238E27FC236}">
              <a16:creationId xmlns:a16="http://schemas.microsoft.com/office/drawing/2014/main" id="{D1F37FB7-DFE3-9413-B836-904D5C6BD20C}"/>
            </a:ext>
          </a:extLst>
        </xdr:cNvPr>
        <xdr:cNvSpPr txBox="1"/>
      </xdr:nvSpPr>
      <xdr:spPr>
        <a:xfrm>
          <a:off x="14020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7EEA515-B7D9-422F-B0D0-A0E5B7505B6F}" type="TxLink">
            <a:rPr lang="en-US" sz="2800" b="1" i="0" u="none" strike="noStrike">
              <a:solidFill>
                <a:srgbClr val="054A19"/>
              </a:solidFill>
              <a:latin typeface="Aptos"/>
            </a:rPr>
            <a:t>44K</a:t>
          </a:fld>
          <a:endParaRPr lang="en-PK" sz="2800" b="1">
            <a:solidFill>
              <a:srgbClr val="054A19"/>
            </a:solidFill>
          </a:endParaRPr>
        </a:p>
      </xdr:txBody>
    </xdr:sp>
    <xdr:clientData/>
  </xdr:twoCellAnchor>
  <xdr:twoCellAnchor>
    <xdr:from>
      <xdr:col>26</xdr:col>
      <xdr:colOff>152400</xdr:colOff>
      <xdr:row>7</xdr:row>
      <xdr:rowOff>50800</xdr:rowOff>
    </xdr:from>
    <xdr:to>
      <xdr:col>29</xdr:col>
      <xdr:colOff>482600</xdr:colOff>
      <xdr:row>7</xdr:row>
      <xdr:rowOff>215900</xdr:rowOff>
    </xdr:to>
    <xdr:sp macro="" textlink="">
      <xdr:nvSpPr>
        <xdr:cNvPr id="35" name="TextBox 34">
          <a:extLst>
            <a:ext uri="{FF2B5EF4-FFF2-40B4-BE49-F238E27FC236}">
              <a16:creationId xmlns:a16="http://schemas.microsoft.com/office/drawing/2014/main" id="{1D57BAF6-EEEA-2566-3868-F39FD38AA356}"/>
            </a:ext>
          </a:extLst>
        </xdr:cNvPr>
        <xdr:cNvSpPr txBox="1"/>
      </xdr:nvSpPr>
      <xdr:spPr>
        <a:xfrm>
          <a:off x="14020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endParaRPr lang="en-PK" sz="800">
            <a:solidFill>
              <a:srgbClr val="505F50"/>
            </a:solidFill>
          </a:endParaRP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B9CAF33C-BE48-8DF3-40C8-78D38F911B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57E9018B-1CEF-BF36-61C3-AFE96E64F9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4B705713-D053-5C63-E971-C28C8560DF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4778F6A4-2505-80A5-2BF1-89ECC00050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F0649D7F-C44A-FE0F-4E53-9F03F4B350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59871</xdr:colOff>
      <xdr:row>8</xdr:row>
      <xdr:rowOff>227239</xdr:rowOff>
    </xdr:from>
    <xdr:to>
      <xdr:col>30</xdr:col>
      <xdr:colOff>81643</xdr:colOff>
      <xdr:row>13</xdr:row>
      <xdr:rowOff>213632</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F9C4286C-9651-24D9-F7E8-A72E0F7635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1734800" y="2200275"/>
              <a:ext cx="4267200" cy="1143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59871</xdr:colOff>
      <xdr:row>13</xdr:row>
      <xdr:rowOff>213632</xdr:rowOff>
    </xdr:from>
    <xdr:to>
      <xdr:col>30</xdr:col>
      <xdr:colOff>81643</xdr:colOff>
      <xdr:row>17</xdr:row>
      <xdr:rowOff>202746</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04C848DA-A078-3E0A-41D0-EB8EAA54765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734800" y="3343275"/>
              <a:ext cx="4267200" cy="9144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15</xdr:col>
      <xdr:colOff>180975</xdr:colOff>
      <xdr:row>8</xdr:row>
      <xdr:rowOff>180975</xdr:rowOff>
    </xdr:from>
    <xdr:to>
      <xdr:col>17</xdr:col>
      <xdr:colOff>9525</xdr:colOff>
      <xdr:row>12</xdr:row>
      <xdr:rowOff>180975</xdr:rowOff>
    </xdr:to>
    <xdr:sp macro="[0]!BuildExpensesDashboard" textlink="">
      <xdr:nvSpPr>
        <xdr:cNvPr id="2" name="Rectangle: Rounded Corners 1">
          <a:extLst>
            <a:ext uri="{FF2B5EF4-FFF2-40B4-BE49-F238E27FC236}">
              <a16:creationId xmlns:a16="http://schemas.microsoft.com/office/drawing/2014/main" id="{D3928A25-7238-7308-B9DD-1A36A989B648}"/>
            </a:ext>
          </a:extLst>
        </xdr:cNvPr>
        <xdr:cNvSpPr/>
      </xdr:nvSpPr>
      <xdr:spPr>
        <a:xfrm>
          <a:off x="9324975" y="1704975"/>
          <a:ext cx="1047750" cy="762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Build DASHBOARD</a:t>
          </a:r>
          <a:endParaRPr lang="en-PK"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38.529812384259" createdVersion="3" refreshedVersion="8" minRefreshableVersion="3" recordCount="415" xr:uid="{9BADD6E0-57F2-4744-B347-4B26191D3323}">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t"/>
        <s v="Oct"/>
        <s v="Nov"/>
        <s v="Dec"/>
      </sharedItems>
    </cacheField>
  </cacheFields>
  <extLst>
    <ext xmlns:x14="http://schemas.microsoft.com/office/spreadsheetml/2009/9/main" uri="{725AE2AE-9491-48be-B2B4-4EB974FC3084}">
      <x14:pivotCacheDefinition pivotCacheId="16460100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4941D-CD86-4D9D-956A-57FBA396A647}" name="PT_BudgetVsActual"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19">
    <format dxfId="783">
      <pivotArea outline="0" collapsedLevelsAreSubtotals="1" fieldPosition="0"/>
    </format>
    <format dxfId="782">
      <pivotArea type="all" dataOnly="0" outline="0" fieldPosition="0"/>
    </format>
    <format dxfId="781">
      <pivotArea outline="0" collapsedLevelsAreSubtotals="1" fieldPosition="0"/>
    </format>
    <format dxfId="780">
      <pivotArea type="origin" dataOnly="0" labelOnly="1" outline="0" fieldPosition="0"/>
    </format>
    <format dxfId="779">
      <pivotArea field="-2" type="button" dataOnly="0" labelOnly="1" outline="0" axis="axisCol" fieldPosition="0"/>
    </format>
    <format dxfId="778">
      <pivotArea type="topRight" dataOnly="0" labelOnly="1" outline="0" fieldPosition="0"/>
    </format>
    <format dxfId="777">
      <pivotArea field="2" type="button" dataOnly="0" labelOnly="1" outline="0" axis="axisRow" fieldPosition="0"/>
    </format>
    <format dxfId="776">
      <pivotArea dataOnly="0" labelOnly="1" outline="0" fieldPosition="0">
        <references count="1">
          <reference field="2" count="0"/>
        </references>
      </pivotArea>
    </format>
    <format dxfId="775">
      <pivotArea dataOnly="0" labelOnly="1" grandRow="1" outline="0" fieldPosition="0"/>
    </format>
    <format dxfId="774">
      <pivotArea dataOnly="0" labelOnly="1" outline="0" fieldPosition="0">
        <references count="1">
          <reference field="4294967294" count="2">
            <x v="0"/>
            <x v="1"/>
          </reference>
        </references>
      </pivotArea>
    </format>
    <format dxfId="773">
      <pivotArea type="all" dataOnly="0" outline="0" fieldPosition="0"/>
    </format>
    <format dxfId="772">
      <pivotArea outline="0" collapsedLevelsAreSubtotals="1" fieldPosition="0"/>
    </format>
    <format dxfId="771">
      <pivotArea type="origin" dataOnly="0" labelOnly="1" outline="0" fieldPosition="0"/>
    </format>
    <format dxfId="770">
      <pivotArea field="-2" type="button" dataOnly="0" labelOnly="1" outline="0" axis="axisCol" fieldPosition="0"/>
    </format>
    <format dxfId="769">
      <pivotArea type="topRight" dataOnly="0" labelOnly="1" outline="0" fieldPosition="0"/>
    </format>
    <format dxfId="768">
      <pivotArea field="2" type="button" dataOnly="0" labelOnly="1" outline="0" axis="axisRow" fieldPosition="0"/>
    </format>
    <format dxfId="767">
      <pivotArea dataOnly="0" labelOnly="1" outline="0" fieldPosition="0">
        <references count="1">
          <reference field="2" count="0"/>
        </references>
      </pivotArea>
    </format>
    <format dxfId="766">
      <pivotArea dataOnly="0" labelOnly="1" grandRow="1" outline="0" fieldPosition="0"/>
    </format>
    <format dxfId="76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5C2F2F-9917-41E5-ABEA-7F48BB5C4095}" name="PT_PaymentMetho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796">
      <pivotArea outline="0" collapsedLevelsAreSubtotals="1" fieldPosition="0"/>
    </format>
    <format dxfId="795">
      <pivotArea type="all" dataOnly="0" outline="0" fieldPosition="0"/>
    </format>
    <format dxfId="794">
      <pivotArea outline="0" collapsedLevelsAreSubtotals="1" fieldPosition="0"/>
    </format>
    <format dxfId="793">
      <pivotArea field="6" type="button" dataOnly="0" labelOnly="1" outline="0" axis="axisRow" fieldPosition="0"/>
    </format>
    <format dxfId="792">
      <pivotArea dataOnly="0" labelOnly="1" outline="0" fieldPosition="0">
        <references count="1">
          <reference field="6" count="0"/>
        </references>
      </pivotArea>
    </format>
    <format dxfId="791">
      <pivotArea dataOnly="0" labelOnly="1" grandRow="1" outline="0" fieldPosition="0"/>
    </format>
    <format dxfId="790">
      <pivotArea dataOnly="0" labelOnly="1" outline="0" axis="axisValues" fieldPosition="0"/>
    </format>
    <format dxfId="789">
      <pivotArea type="all" dataOnly="0" outline="0" fieldPosition="0"/>
    </format>
    <format dxfId="788">
      <pivotArea outline="0" collapsedLevelsAreSubtotals="1" fieldPosition="0"/>
    </format>
    <format dxfId="787">
      <pivotArea field="6" type="button" dataOnly="0" labelOnly="1" outline="0" axis="axisRow" fieldPosition="0"/>
    </format>
    <format dxfId="786">
      <pivotArea dataOnly="0" labelOnly="1" outline="0" fieldPosition="0">
        <references count="1">
          <reference field="6" count="0"/>
        </references>
      </pivotArea>
    </format>
    <format dxfId="785">
      <pivotArea dataOnly="0" labelOnly="1" grandRow="1" outline="0" fieldPosition="0"/>
    </format>
    <format dxfId="78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BC94AD-C4E4-4C87-84B4-9CD8C605C18D}" name="PT_KPI" cacheId="6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808">
      <pivotArea outline="0" collapsedLevelsAreSubtotals="1" fieldPosition="0"/>
    </format>
    <format dxfId="807">
      <pivotArea outline="0" collapsedLevelsAreSubtotals="1" fieldPosition="0">
        <references count="1">
          <reference field="4294967294" count="1" selected="0">
            <x v="3"/>
          </reference>
        </references>
      </pivotArea>
    </format>
    <format dxfId="806">
      <pivotArea type="all" dataOnly="0" outline="0" fieldPosition="0"/>
    </format>
    <format dxfId="805">
      <pivotArea outline="0" collapsedLevelsAreSubtotals="1" fieldPosition="0"/>
    </format>
    <format dxfId="804">
      <pivotArea field="-2" type="button" dataOnly="0" labelOnly="1" outline="0" axis="axisCol" fieldPosition="0"/>
    </format>
    <format dxfId="803">
      <pivotArea type="topRight" dataOnly="0" labelOnly="1" outline="0" fieldPosition="0"/>
    </format>
    <format dxfId="802">
      <pivotArea dataOnly="0" labelOnly="1" outline="0" fieldPosition="0">
        <references count="1">
          <reference field="4294967294" count="4">
            <x v="0"/>
            <x v="1"/>
            <x v="2"/>
            <x v="3"/>
          </reference>
        </references>
      </pivotArea>
    </format>
    <format dxfId="801">
      <pivotArea type="all" dataOnly="0" outline="0" fieldPosition="0"/>
    </format>
    <format dxfId="800">
      <pivotArea outline="0" collapsedLevelsAreSubtotals="1" fieldPosition="0"/>
    </format>
    <format dxfId="799">
      <pivotArea field="-2" type="button" dataOnly="0" labelOnly="1" outline="0" axis="axisCol" fieldPosition="0"/>
    </format>
    <format dxfId="798">
      <pivotArea type="topRight" dataOnly="0" labelOnly="1" outline="0" fieldPosition="0"/>
    </format>
    <format dxfId="79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7377C9-CC62-4780-AE2D-C20CE1F688EA}" name="PT_ApprovedStatus"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810">
      <pivotArea outline="0" fieldPosition="0">
        <references count="2">
          <reference field="4294967294" count="1" selected="0">
            <x v="0"/>
          </reference>
          <reference field="7" count="0" selected="0"/>
        </references>
      </pivotArea>
    </format>
    <format dxfId="809">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B7B8E8-3391-458D-AEDF-33C9581764DC}" name="PT_MonthlyTren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3">
    <format dxfId="823">
      <pivotArea outline="0" collapsedLevelsAreSubtotals="1" fieldPosition="0"/>
    </format>
    <format dxfId="822">
      <pivotArea type="all" dataOnly="0" outline="0" fieldPosition="0"/>
    </format>
    <format dxfId="821">
      <pivotArea outline="0" collapsedLevelsAreSubtotals="1" fieldPosition="0"/>
    </format>
    <format dxfId="820">
      <pivotArea field="12" type="button" dataOnly="0" labelOnly="1" outline="0" axis="axisRow" fieldPosition="0"/>
    </format>
    <format dxfId="819">
      <pivotArea dataOnly="0" labelOnly="1" outline="0" fieldPosition="0">
        <references count="1">
          <reference field="12" count="0"/>
        </references>
      </pivotArea>
    </format>
    <format dxfId="818">
      <pivotArea dataOnly="0" labelOnly="1" grandRow="1" outline="0" fieldPosition="0"/>
    </format>
    <format dxfId="817">
      <pivotArea dataOnly="0" labelOnly="1" outline="0" axis="axisValues" fieldPosition="0"/>
    </format>
    <format dxfId="816">
      <pivotArea type="all" dataOnly="0" outline="0" fieldPosition="0"/>
    </format>
    <format dxfId="815">
      <pivotArea outline="0" collapsedLevelsAreSubtotals="1" fieldPosition="0"/>
    </format>
    <format dxfId="814">
      <pivotArea field="12" type="button" dataOnly="0" labelOnly="1" outline="0" axis="axisRow" fieldPosition="0"/>
    </format>
    <format dxfId="813">
      <pivotArea dataOnly="0" labelOnly="1" outline="0" fieldPosition="0">
        <references count="1">
          <reference field="12" count="0"/>
        </references>
      </pivotArea>
    </format>
    <format dxfId="812">
      <pivotArea dataOnly="0" labelOnly="1" grandRow="1" outline="0" fieldPosition="0"/>
    </format>
    <format dxfId="81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FC96C9-649B-4620-B49B-16F959654D3B}" name="PT_ExpenseByCategory"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3">
    <format dxfId="836">
      <pivotArea outline="0" collapsedLevelsAreSubtotals="1" fieldPosition="0"/>
    </format>
    <format dxfId="835">
      <pivotArea type="all" dataOnly="0" outline="0" fieldPosition="0"/>
    </format>
    <format dxfId="834">
      <pivotArea outline="0" collapsedLevelsAreSubtotals="1" fieldPosition="0"/>
    </format>
    <format dxfId="833">
      <pivotArea field="3" type="button" dataOnly="0" labelOnly="1" outline="0" axis="axisRow" fieldPosition="0"/>
    </format>
    <format dxfId="832">
      <pivotArea dataOnly="0" labelOnly="1" outline="0" fieldPosition="0">
        <references count="1">
          <reference field="3" count="0"/>
        </references>
      </pivotArea>
    </format>
    <format dxfId="831">
      <pivotArea dataOnly="0" labelOnly="1" grandRow="1" outline="0" fieldPosition="0"/>
    </format>
    <format dxfId="830">
      <pivotArea dataOnly="0" labelOnly="1" outline="0" axis="axisValues" fieldPosition="0"/>
    </format>
    <format dxfId="829">
      <pivotArea type="all" dataOnly="0" outline="0" fieldPosition="0"/>
    </format>
    <format dxfId="828">
      <pivotArea outline="0" collapsedLevelsAreSubtotals="1" fieldPosition="0"/>
    </format>
    <format dxfId="827">
      <pivotArea field="3" type="button" dataOnly="0" labelOnly="1" outline="0" axis="axisRow" fieldPosition="0"/>
    </format>
    <format dxfId="826">
      <pivotArea dataOnly="0" labelOnly="1" outline="0" fieldPosition="0">
        <references count="1">
          <reference field="3" count="0"/>
        </references>
      </pivotArea>
    </format>
    <format dxfId="825">
      <pivotArea dataOnly="0" labelOnly="1" grandRow="1" outline="0" fieldPosition="0"/>
    </format>
    <format dxfId="82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DE9CBE1-8B21-43C0-9B6D-3DED7AC8A224}" name="PT_ExpenseByDepartment"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3">
    <format dxfId="849">
      <pivotArea outline="0" collapsedLevelsAreSubtotals="1" fieldPosition="0"/>
    </format>
    <format dxfId="848">
      <pivotArea type="all" dataOnly="0" outline="0" fieldPosition="0"/>
    </format>
    <format dxfId="847">
      <pivotArea outline="0" collapsedLevelsAreSubtotals="1" fieldPosition="0"/>
    </format>
    <format dxfId="846">
      <pivotArea field="2" type="button" dataOnly="0" labelOnly="1" outline="0" axis="axisRow" fieldPosition="0"/>
    </format>
    <format dxfId="845">
      <pivotArea dataOnly="0" labelOnly="1" outline="0" fieldPosition="0">
        <references count="1">
          <reference field="2" count="0"/>
        </references>
      </pivotArea>
    </format>
    <format dxfId="844">
      <pivotArea dataOnly="0" labelOnly="1" grandRow="1" outline="0" fieldPosition="0"/>
    </format>
    <format dxfId="843">
      <pivotArea dataOnly="0" labelOnly="1" outline="0" axis="axisValues" fieldPosition="0"/>
    </format>
    <format dxfId="842">
      <pivotArea type="all" dataOnly="0" outline="0" fieldPosition="0"/>
    </format>
    <format dxfId="841">
      <pivotArea outline="0" collapsedLevelsAreSubtotals="1" fieldPosition="0"/>
    </format>
    <format dxfId="840">
      <pivotArea field="2" type="button" dataOnly="0" labelOnly="1" outline="0" axis="axisRow" fieldPosition="0"/>
    </format>
    <format dxfId="839">
      <pivotArea dataOnly="0" labelOnly="1" outline="0" fieldPosition="0">
        <references count="1">
          <reference field="2" count="0"/>
        </references>
      </pivotArea>
    </format>
    <format dxfId="838">
      <pivotArea dataOnly="0" labelOnly="1" grandRow="1" outline="0" fieldPosition="0"/>
    </format>
    <format dxfId="837">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B79972F-4351-4E9B-A441-07E3A4D9D0F4}"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646010090">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4F3B718-DC20-4E31-A493-910CBA83CD5A}"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646010090">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D954D6D-B631-47BD-848F-6D5A7393E09B}" cache="Slicer_Month" caption="Month" columnCount="4" style="SlicerStyleLight6" rowHeight="257175"/>
  <slicer name="Department" xr10:uid="{98A12D07-09EC-40BC-9799-CE7E1237EB09}" cache="Slicer_Department" caption="Department" columnCount="6"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DDE581-0D05-474C-B7FC-3B94214E0F88}" name="tblExpenses" displayName="tblExpenses" ref="A1:M416" totalsRowShown="0" headerRowDxfId="850">
  <autoFilter ref="A1:M416" xr:uid="{30DDE581-0D05-474C-B7FC-3B94214E0F88}"/>
  <tableColumns count="13">
    <tableColumn id="1" xr3:uid="{972C22C7-8A1D-4038-BA30-A7060E21BE78}" name="Expense ID"/>
    <tableColumn id="2" xr3:uid="{8149AC4A-1C6D-42B8-A84D-7A90765922EF}" name="Date" dataDxfId="854"/>
    <tableColumn id="3" xr3:uid="{C7096C44-E38C-4DAA-ABAD-0C1DFC0918A6}" name="Department"/>
    <tableColumn id="4" xr3:uid="{2972E80C-F639-416F-9B43-81355DB43FF4}" name="Category"/>
    <tableColumn id="5" xr3:uid="{C6BAEC7D-38A2-4D21-808E-848DB109E472}" name="Description"/>
    <tableColumn id="6" xr3:uid="{49B6F1C9-732C-4DDF-B620-025E8F29F1EA}" name="Amount (INR)" dataDxfId="853"/>
    <tableColumn id="7" xr3:uid="{ABBECED8-C2C2-4683-91A4-02E91AE24EC9}" name="Payment Method"/>
    <tableColumn id="8" xr3:uid="{4789460F-4B5B-4C76-9B4B-BB396FE3175E}" name="Approved"/>
    <tableColumn id="9" xr3:uid="{C704D60C-9034-448B-A6A8-CB6EF247E418}" name="Budget Allocated" dataDxfId="852"/>
    <tableColumn id="10" xr3:uid="{4E105B60-C294-48C5-91B3-54B018684CB7}" name="Budget Remaining" dataDxfId="851"/>
    <tableColumn id="11" xr3:uid="{3BE77787-BCC2-49FB-A25A-9B533A2C8703}" name="Vendor Name"/>
    <tableColumn id="12" xr3:uid="{D5608C3F-153C-4389-8F1E-482213817682}" name="Invoice Number"/>
    <tableColumn id="13" xr3:uid="{6B86F6A7-DBCB-4589-B2FA-D7B34BF02DF5}"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EF91F-25DC-4289-956D-E387C5DC706A}">
  <sheetPr>
    <pageSetUpPr fitToPage="1"/>
  </sheetPr>
  <dimension ref="A1:AF29"/>
  <sheetViews>
    <sheetView showGridLines="0" tabSelected="1" zoomScale="70" zoomScaleNormal="70" workbookViewId="0"/>
  </sheetViews>
  <sheetFormatPr defaultRowHeight="13.5" x14ac:dyDescent="0.25"/>
  <cols>
    <col min="1" max="30" width="8" style="11" customWidth="1"/>
    <col min="31" max="31" width="9.140625" style="11"/>
    <col min="32" max="33" width="0" style="11" hidden="1" customWidth="1"/>
    <col min="34" max="16384" width="9.140625" style="11"/>
  </cols>
  <sheetData>
    <row r="1" spans="1:32" ht="21.95" customHeight="1" x14ac:dyDescent="0.25">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1.95" customHeight="1" x14ac:dyDescent="0.25">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18405183</v>
      </c>
    </row>
    <row r="3" spans="1:32" ht="21.95" customHeight="1" x14ac:dyDescent="0.25">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22953950</v>
      </c>
    </row>
    <row r="4" spans="1:32" ht="18" customHeight="1" x14ac:dyDescent="0.25">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4548767</v>
      </c>
    </row>
    <row r="5" spans="1:32" ht="18" customHeight="1" x14ac:dyDescent="0.25">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415</v>
      </c>
    </row>
    <row r="6" spans="1:32" ht="18" customHeight="1" x14ac:dyDescent="0.25">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0.81445783132530125</v>
      </c>
    </row>
    <row r="7" spans="1:32" ht="18" customHeight="1" x14ac:dyDescent="0.25">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44349.838554216869</v>
      </c>
    </row>
    <row r="8" spans="1:32" ht="18" customHeight="1" x14ac:dyDescent="0.25">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25">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25">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25">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25">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25">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25">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25">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25">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25">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25">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25">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paperSize="9" orientation="portrait"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Q15" sqref="Q15"/>
    </sheetView>
  </sheetViews>
  <sheetFormatPr defaultRowHeight="15" x14ac:dyDescent="0.25"/>
  <cols>
    <col min="1" max="1" width="13.42578125" bestFit="1" customWidth="1"/>
    <col min="2" max="2" width="12.140625" bestFit="1" customWidth="1"/>
    <col min="3" max="3" width="14.140625" bestFit="1" customWidth="1"/>
    <col min="4" max="4" width="14.28515625" bestFit="1" customWidth="1"/>
    <col min="5" max="5" width="34.42578125" bestFit="1" customWidth="1"/>
    <col min="6" max="6" width="15.5703125" bestFit="1" customWidth="1"/>
    <col min="7" max="7" width="18.5703125" bestFit="1" customWidth="1"/>
    <col min="8" max="8" width="11.85546875" bestFit="1" customWidth="1"/>
    <col min="9" max="9" width="18.5703125" bestFit="1" customWidth="1"/>
    <col min="10" max="10" width="19.85546875" bestFit="1" customWidth="1"/>
    <col min="11" max="11" width="19.140625" bestFit="1" customWidth="1"/>
    <col min="12" max="12" width="17.7109375" bestFit="1" customWidth="1"/>
    <col min="13" max="13" width="9" bestFit="1" customWidth="1"/>
  </cols>
  <sheetData>
    <row r="1" spans="1:13" s="3" customFormat="1" x14ac:dyDescent="0.25">
      <c r="A1" s="3" t="s">
        <v>0</v>
      </c>
      <c r="B1" s="3" t="s">
        <v>1</v>
      </c>
      <c r="C1" s="3" t="s">
        <v>2</v>
      </c>
      <c r="D1" s="3" t="s">
        <v>3</v>
      </c>
      <c r="E1" s="3" t="s">
        <v>4</v>
      </c>
      <c r="F1" s="3" t="s">
        <v>5</v>
      </c>
      <c r="G1" s="3" t="s">
        <v>6</v>
      </c>
      <c r="H1" s="3" t="s">
        <v>7</v>
      </c>
      <c r="I1" s="3" t="s">
        <v>8</v>
      </c>
      <c r="J1" s="3" t="s">
        <v>9</v>
      </c>
      <c r="K1" s="3" t="s">
        <v>10</v>
      </c>
      <c r="L1" s="3" t="s">
        <v>11</v>
      </c>
      <c r="M1" s="3" t="s">
        <v>918</v>
      </c>
    </row>
    <row r="2" spans="1:13" x14ac:dyDescent="0.25">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25">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25">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25">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25">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25">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25">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25">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25">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25">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25">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25">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25">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25">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25">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25">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25">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25">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25">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25">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25">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25">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25">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25">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25">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25">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25">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25">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25">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25">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25">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25">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25">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25">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25">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25">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25">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25">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25">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25">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25">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25">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25">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25">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25">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25">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25">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25">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25">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25">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25">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25">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25">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25">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25">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25">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25">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25">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25">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25">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25">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25">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25">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25">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25">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25">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25">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25">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25">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25">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25">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25">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25">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25">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25">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25">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25">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25">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25">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25">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25">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25">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25">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25">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25">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25">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25">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25">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25">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25">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25">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25">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25">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25">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25">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25">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25">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25">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25">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25">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25">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25">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25">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25">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25">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25">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25">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25">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25">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25">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25">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25">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25">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25">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25">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25">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25">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25">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25">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25">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25">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25">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25">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25">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25">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25">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25">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25">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25">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25">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25">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25">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25">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25">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25">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25">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25">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25">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25">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25">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25">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25">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25">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25">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25">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25">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25">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25">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25">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25">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25">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25">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25">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25">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25">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25">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25">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25">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25">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25">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25">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25">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25">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25">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25">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25">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25">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25">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25">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25">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25">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25">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25">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25">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25">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25">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25">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25">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25">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25">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25">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25">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25">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25">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25">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25">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25">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25">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25">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25">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25">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25">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25">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25">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25">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25">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25">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25">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25">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25">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25">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25">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25">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25">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25">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25">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25">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25">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25">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25">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25">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25">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25">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25">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25">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25">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25">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25">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25">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25">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25">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25">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25">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25">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25">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25">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25">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25">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25">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25">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25">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25">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25">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25">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25">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25">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25">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25">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25">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25">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25">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25">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25">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25">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25">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25">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25">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25">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25">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25">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25">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25">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25">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25">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25">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25">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25">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25">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25">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25">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25">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25">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25">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25">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25">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25">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25">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25">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25">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25">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25">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25">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25">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25">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25">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25">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25">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25">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25">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Sept</v>
      </c>
    </row>
    <row r="281" spans="1:13" x14ac:dyDescent="0.25">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Sept</v>
      </c>
    </row>
    <row r="282" spans="1:13" x14ac:dyDescent="0.25">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Sept</v>
      </c>
    </row>
    <row r="283" spans="1:13" x14ac:dyDescent="0.25">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Sept</v>
      </c>
    </row>
    <row r="284" spans="1:13" x14ac:dyDescent="0.25">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Sept</v>
      </c>
    </row>
    <row r="285" spans="1:13" x14ac:dyDescent="0.25">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Sept</v>
      </c>
    </row>
    <row r="286" spans="1:13" x14ac:dyDescent="0.25">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Sept</v>
      </c>
    </row>
    <row r="287" spans="1:13" x14ac:dyDescent="0.25">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Sept</v>
      </c>
    </row>
    <row r="288" spans="1:13" x14ac:dyDescent="0.25">
      <c r="A288" t="s">
        <v>660</v>
      </c>
      <c r="B288" s="1">
        <v>45919</v>
      </c>
      <c r="C288" t="s">
        <v>21</v>
      </c>
      <c r="D288" t="s">
        <v>54</v>
      </c>
      <c r="E288" t="s">
        <v>158</v>
      </c>
      <c r="F288" s="2">
        <v>2928</v>
      </c>
      <c r="G288" t="s">
        <v>23</v>
      </c>
      <c r="H288" t="s">
        <v>43</v>
      </c>
      <c r="I288" s="2">
        <v>3428</v>
      </c>
      <c r="J288" s="2">
        <v>500</v>
      </c>
      <c r="K288" t="s">
        <v>69</v>
      </c>
      <c r="L288" t="s">
        <v>661</v>
      </c>
      <c r="M288" t="str">
        <f>TEXT(tblExpenses[[#This Row],[Date]],"mmm")</f>
        <v>Sept</v>
      </c>
    </row>
    <row r="289" spans="1:13" x14ac:dyDescent="0.25">
      <c r="A289" t="s">
        <v>662</v>
      </c>
      <c r="B289" s="1">
        <v>45903</v>
      </c>
      <c r="C289" t="s">
        <v>21</v>
      </c>
      <c r="D289" t="s">
        <v>14</v>
      </c>
      <c r="E289" t="s">
        <v>42</v>
      </c>
      <c r="F289" s="2">
        <v>7935</v>
      </c>
      <c r="G289" t="s">
        <v>51</v>
      </c>
      <c r="H289" t="s">
        <v>17</v>
      </c>
      <c r="I289" s="2">
        <v>8659</v>
      </c>
      <c r="J289" s="2">
        <v>724</v>
      </c>
      <c r="K289" t="s">
        <v>28</v>
      </c>
      <c r="L289" t="s">
        <v>663</v>
      </c>
      <c r="M289" t="str">
        <f>TEXT(tblExpenses[[#This Row],[Date]],"mmm")</f>
        <v>Sept</v>
      </c>
    </row>
    <row r="290" spans="1:13" x14ac:dyDescent="0.25">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Sept</v>
      </c>
    </row>
    <row r="291" spans="1:13" x14ac:dyDescent="0.25">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Sept</v>
      </c>
    </row>
    <row r="292" spans="1:13" x14ac:dyDescent="0.25">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Sept</v>
      </c>
    </row>
    <row r="293" spans="1:13" x14ac:dyDescent="0.25">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Sept</v>
      </c>
    </row>
    <row r="294" spans="1:13" x14ac:dyDescent="0.25">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Sept</v>
      </c>
    </row>
    <row r="295" spans="1:13" x14ac:dyDescent="0.25">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Sept</v>
      </c>
    </row>
    <row r="296" spans="1:13" x14ac:dyDescent="0.25">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Sept</v>
      </c>
    </row>
    <row r="297" spans="1:13" x14ac:dyDescent="0.25">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Sept</v>
      </c>
    </row>
    <row r="298" spans="1:13" x14ac:dyDescent="0.25">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Sept</v>
      </c>
    </row>
    <row r="299" spans="1:13" x14ac:dyDescent="0.25">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Sept</v>
      </c>
    </row>
    <row r="300" spans="1:13" x14ac:dyDescent="0.25">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Sept</v>
      </c>
    </row>
    <row r="301" spans="1:13" x14ac:dyDescent="0.25">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Sept</v>
      </c>
    </row>
    <row r="302" spans="1:13" x14ac:dyDescent="0.25">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Sept</v>
      </c>
    </row>
    <row r="303" spans="1:13" x14ac:dyDescent="0.25">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Sept</v>
      </c>
    </row>
    <row r="304" spans="1:13" x14ac:dyDescent="0.25">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Sept</v>
      </c>
    </row>
    <row r="305" spans="1:13" x14ac:dyDescent="0.25">
      <c r="A305" t="s">
        <v>694</v>
      </c>
      <c r="B305" s="1">
        <v>45905</v>
      </c>
      <c r="C305" t="s">
        <v>92</v>
      </c>
      <c r="D305" t="s">
        <v>26</v>
      </c>
      <c r="E305" t="s">
        <v>191</v>
      </c>
      <c r="F305" s="2">
        <v>5152</v>
      </c>
      <c r="G305" t="s">
        <v>16</v>
      </c>
      <c r="H305" t="s">
        <v>17</v>
      </c>
      <c r="I305" s="2">
        <v>7089</v>
      </c>
      <c r="J305" s="2">
        <v>1937</v>
      </c>
      <c r="K305" t="s">
        <v>62</v>
      </c>
      <c r="L305" t="s">
        <v>695</v>
      </c>
      <c r="M305" t="str">
        <f>TEXT(tblExpenses[[#This Row],[Date]],"mmm")</f>
        <v>Sept</v>
      </c>
    </row>
    <row r="306" spans="1:13" x14ac:dyDescent="0.25">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Sept</v>
      </c>
    </row>
    <row r="307" spans="1:13" x14ac:dyDescent="0.25">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Sept</v>
      </c>
    </row>
    <row r="308" spans="1:13" x14ac:dyDescent="0.25">
      <c r="A308" t="s">
        <v>700</v>
      </c>
      <c r="B308" s="1">
        <v>45928</v>
      </c>
      <c r="C308" t="s">
        <v>92</v>
      </c>
      <c r="D308" t="s">
        <v>26</v>
      </c>
      <c r="E308" t="s">
        <v>191</v>
      </c>
      <c r="F308" s="2">
        <v>1762</v>
      </c>
      <c r="G308" t="s">
        <v>16</v>
      </c>
      <c r="H308" t="s">
        <v>17</v>
      </c>
      <c r="I308" s="2">
        <v>2365</v>
      </c>
      <c r="J308" s="2">
        <v>603</v>
      </c>
      <c r="K308" t="s">
        <v>69</v>
      </c>
      <c r="L308" t="s">
        <v>701</v>
      </c>
      <c r="M308" t="str">
        <f>TEXT(tblExpenses[[#This Row],[Date]],"mmm")</f>
        <v>Sept</v>
      </c>
    </row>
    <row r="309" spans="1:13" x14ac:dyDescent="0.25">
      <c r="A309" t="s">
        <v>702</v>
      </c>
      <c r="B309" s="1">
        <v>45922</v>
      </c>
      <c r="C309" t="s">
        <v>92</v>
      </c>
      <c r="D309" t="s">
        <v>54</v>
      </c>
      <c r="E309" t="s">
        <v>96</v>
      </c>
      <c r="F309" s="2">
        <v>2636</v>
      </c>
      <c r="G309" t="s">
        <v>38</v>
      </c>
      <c r="H309" t="s">
        <v>17</v>
      </c>
      <c r="I309" s="2">
        <v>3257</v>
      </c>
      <c r="J309" s="2">
        <v>621</v>
      </c>
      <c r="K309" t="s">
        <v>69</v>
      </c>
      <c r="L309" t="s">
        <v>703</v>
      </c>
      <c r="M309" t="str">
        <f>TEXT(tblExpenses[[#This Row],[Date]],"mmm")</f>
        <v>Sept</v>
      </c>
    </row>
    <row r="310" spans="1:13" x14ac:dyDescent="0.25">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Sept</v>
      </c>
    </row>
    <row r="311" spans="1:13" x14ac:dyDescent="0.25">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Sept</v>
      </c>
    </row>
    <row r="312" spans="1:13" x14ac:dyDescent="0.25">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Sept</v>
      </c>
    </row>
    <row r="313" spans="1:13" x14ac:dyDescent="0.25">
      <c r="A313" t="s">
        <v>710</v>
      </c>
      <c r="B313" s="1">
        <v>45917</v>
      </c>
      <c r="C313" t="s">
        <v>114</v>
      </c>
      <c r="D313" t="s">
        <v>26</v>
      </c>
      <c r="E313" t="s">
        <v>119</v>
      </c>
      <c r="F313" s="2">
        <v>3523</v>
      </c>
      <c r="G313" t="s">
        <v>23</v>
      </c>
      <c r="H313" t="s">
        <v>43</v>
      </c>
      <c r="I313" s="2">
        <v>4161</v>
      </c>
      <c r="J313" s="2">
        <v>638</v>
      </c>
      <c r="K313" t="s">
        <v>28</v>
      </c>
      <c r="L313" t="s">
        <v>711</v>
      </c>
      <c r="M313" t="str">
        <f>TEXT(tblExpenses[[#This Row],[Date]],"mmm")</f>
        <v>Sept</v>
      </c>
    </row>
    <row r="314" spans="1:13" x14ac:dyDescent="0.25">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Sept</v>
      </c>
    </row>
    <row r="315" spans="1:13" x14ac:dyDescent="0.25">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Sept</v>
      </c>
    </row>
    <row r="316" spans="1:13" x14ac:dyDescent="0.25">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25">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25">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25">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25">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25">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25">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25">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25">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25">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25">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25">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25">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25">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25">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25">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25">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25">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25">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25">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25">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25">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25">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25">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25">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25">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25">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25">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25">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25">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25">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25">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25">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25">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25">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25">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25">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25">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25">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25">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25">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25">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25">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25">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25">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25">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25">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25">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25">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25">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25">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25">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25">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25">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25">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25">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25">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25">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25">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25">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25">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25">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25">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25">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25">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25">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25">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25">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25">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25">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25">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25">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25">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25">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25">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25">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25">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25">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25">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25">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25">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25">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25">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25">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25">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25">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25">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25">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25">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25">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25">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25">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25">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25">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25">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25">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25">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25">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25">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25">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25">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E3955-C33C-4A1D-A4EC-6E9A14D920AA}">
  <dimension ref="A3:P62"/>
  <sheetViews>
    <sheetView workbookViewId="0"/>
  </sheetViews>
  <sheetFormatPr defaultRowHeight="15" x14ac:dyDescent="0.25"/>
  <cols>
    <col min="1" max="1" width="18" bestFit="1" customWidth="1"/>
    <col min="2" max="2" width="19.140625" bestFit="1" customWidth="1"/>
    <col min="4" max="4" width="13.7109375" bestFit="1" customWidth="1"/>
    <col min="5" max="5" width="12.140625" bestFit="1" customWidth="1"/>
    <col min="6" max="6" width="22.5703125" bestFit="1" customWidth="1"/>
    <col min="7" max="7" width="11" bestFit="1" customWidth="1"/>
    <col min="8" max="8" width="19.140625" bestFit="1" customWidth="1"/>
    <col min="10" max="10" width="11.85546875" bestFit="1" customWidth="1"/>
    <col min="11" max="11" width="20.140625" bestFit="1" customWidth="1"/>
    <col min="12" max="12" width="19.7109375" bestFit="1" customWidth="1"/>
    <col min="13" max="13" width="19.140625" bestFit="1" customWidth="1"/>
    <col min="14" max="14" width="22.5703125" bestFit="1" customWidth="1"/>
    <col min="15" max="15" width="23.42578125" bestFit="1" customWidth="1"/>
    <col min="16" max="16" width="18.42578125" bestFit="1" customWidth="1"/>
  </cols>
  <sheetData>
    <row r="3" spans="1:16" x14ac:dyDescent="0.25">
      <c r="A3" s="6" t="s">
        <v>2</v>
      </c>
      <c r="B3" s="7" t="s">
        <v>920</v>
      </c>
      <c r="D3" s="6" t="s">
        <v>3</v>
      </c>
      <c r="E3" s="7" t="s">
        <v>920</v>
      </c>
      <c r="G3" s="6" t="s">
        <v>918</v>
      </c>
      <c r="H3" s="7" t="s">
        <v>920</v>
      </c>
      <c r="K3" s="4" t="s">
        <v>933</v>
      </c>
      <c r="M3" s="6" t="s">
        <v>933</v>
      </c>
      <c r="N3" s="7"/>
      <c r="O3" s="7"/>
      <c r="P3" s="7"/>
    </row>
    <row r="4" spans="1:16" x14ac:dyDescent="0.25">
      <c r="A4" s="7" t="s">
        <v>13</v>
      </c>
      <c r="B4" s="8">
        <v>3366315</v>
      </c>
      <c r="D4" s="7" t="s">
        <v>31</v>
      </c>
      <c r="E4" s="8">
        <v>6030171</v>
      </c>
      <c r="G4" s="7" t="s">
        <v>921</v>
      </c>
      <c r="H4" s="8">
        <v>1379978</v>
      </c>
      <c r="J4" s="4" t="s">
        <v>7</v>
      </c>
      <c r="K4" t="s">
        <v>920</v>
      </c>
      <c r="L4" t="s">
        <v>934</v>
      </c>
      <c r="M4" s="7" t="s">
        <v>920</v>
      </c>
      <c r="N4" s="7" t="s">
        <v>935</v>
      </c>
      <c r="O4" s="7" t="s">
        <v>936</v>
      </c>
      <c r="P4" s="7" t="s">
        <v>934</v>
      </c>
    </row>
    <row r="5" spans="1:16" x14ac:dyDescent="0.25">
      <c r="A5" s="7" t="s">
        <v>92</v>
      </c>
      <c r="B5" s="8">
        <v>2611075</v>
      </c>
      <c r="D5" s="7" t="s">
        <v>36</v>
      </c>
      <c r="E5" s="8">
        <v>3671418</v>
      </c>
      <c r="G5" s="7" t="s">
        <v>922</v>
      </c>
      <c r="H5" s="8">
        <v>1058599</v>
      </c>
      <c r="J5" t="s">
        <v>43</v>
      </c>
      <c r="K5" s="2">
        <v>3628179</v>
      </c>
      <c r="L5" s="9">
        <v>77</v>
      </c>
      <c r="M5" s="8">
        <v>18405183</v>
      </c>
      <c r="N5" s="8">
        <v>22953950</v>
      </c>
      <c r="O5" s="8">
        <v>4548767</v>
      </c>
      <c r="P5" s="10">
        <v>415</v>
      </c>
    </row>
    <row r="6" spans="1:16" x14ac:dyDescent="0.25">
      <c r="A6" s="7" t="s">
        <v>72</v>
      </c>
      <c r="B6" s="8">
        <v>3616924</v>
      </c>
      <c r="D6" s="7" t="s">
        <v>21</v>
      </c>
      <c r="E6" s="8">
        <v>3505155</v>
      </c>
      <c r="G6" s="7" t="s">
        <v>923</v>
      </c>
      <c r="H6" s="8">
        <v>1179601</v>
      </c>
      <c r="J6" t="s">
        <v>17</v>
      </c>
      <c r="K6" s="2">
        <v>14777004</v>
      </c>
      <c r="L6" s="9">
        <v>338</v>
      </c>
    </row>
    <row r="7" spans="1:16" x14ac:dyDescent="0.25">
      <c r="A7" s="7" t="s">
        <v>21</v>
      </c>
      <c r="B7" s="8">
        <v>3010276</v>
      </c>
      <c r="D7" s="7" t="s">
        <v>26</v>
      </c>
      <c r="E7" s="8">
        <v>208093</v>
      </c>
      <c r="G7" s="7" t="s">
        <v>924</v>
      </c>
      <c r="H7" s="8">
        <v>1317668</v>
      </c>
      <c r="J7" t="s">
        <v>919</v>
      </c>
      <c r="K7" s="5">
        <v>18405183</v>
      </c>
      <c r="L7" s="5">
        <v>415</v>
      </c>
    </row>
    <row r="8" spans="1:16" x14ac:dyDescent="0.25">
      <c r="A8" s="7" t="s">
        <v>114</v>
      </c>
      <c r="B8" s="8">
        <v>3346621</v>
      </c>
      <c r="D8" s="7" t="s">
        <v>14</v>
      </c>
      <c r="E8" s="8">
        <v>1743238</v>
      </c>
      <c r="G8" s="7" t="s">
        <v>925</v>
      </c>
      <c r="H8" s="8">
        <v>1780658</v>
      </c>
    </row>
    <row r="9" spans="1:16" x14ac:dyDescent="0.25">
      <c r="A9" s="7" t="s">
        <v>46</v>
      </c>
      <c r="B9" s="8">
        <v>2453972</v>
      </c>
      <c r="D9" s="7" t="s">
        <v>132</v>
      </c>
      <c r="E9" s="8">
        <v>772840</v>
      </c>
      <c r="G9" s="7" t="s">
        <v>926</v>
      </c>
      <c r="H9" s="8">
        <v>1286080</v>
      </c>
    </row>
    <row r="10" spans="1:16" x14ac:dyDescent="0.25">
      <c r="A10" s="7" t="s">
        <v>919</v>
      </c>
      <c r="B10" s="8">
        <v>18405183</v>
      </c>
      <c r="D10" s="7" t="s">
        <v>58</v>
      </c>
      <c r="E10" s="8">
        <v>2023948</v>
      </c>
      <c r="G10" s="7" t="s">
        <v>927</v>
      </c>
      <c r="H10" s="8">
        <v>2119404</v>
      </c>
    </row>
    <row r="11" spans="1:16" x14ac:dyDescent="0.25">
      <c r="D11" s="7" t="s">
        <v>54</v>
      </c>
      <c r="E11" s="8">
        <v>450320</v>
      </c>
      <c r="G11" s="7" t="s">
        <v>928</v>
      </c>
      <c r="H11" s="8">
        <v>1669539</v>
      </c>
    </row>
    <row r="12" spans="1:16" x14ac:dyDescent="0.25">
      <c r="D12" s="7" t="s">
        <v>919</v>
      </c>
      <c r="E12" s="8">
        <v>18405183</v>
      </c>
      <c r="G12" s="7" t="s">
        <v>929</v>
      </c>
      <c r="H12" s="8">
        <v>1913484</v>
      </c>
    </row>
    <row r="13" spans="1:16" x14ac:dyDescent="0.25">
      <c r="G13" s="7" t="s">
        <v>930</v>
      </c>
      <c r="H13" s="8">
        <v>1365637</v>
      </c>
    </row>
    <row r="14" spans="1:16" x14ac:dyDescent="0.25">
      <c r="G14" s="7" t="s">
        <v>931</v>
      </c>
      <c r="H14" s="8">
        <v>1795988</v>
      </c>
    </row>
    <row r="15" spans="1:16" x14ac:dyDescent="0.25">
      <c r="G15" s="7" t="s">
        <v>932</v>
      </c>
      <c r="H15" s="8">
        <v>1538547</v>
      </c>
    </row>
    <row r="16" spans="1:16" x14ac:dyDescent="0.25">
      <c r="G16" s="7" t="s">
        <v>919</v>
      </c>
      <c r="H16" s="8">
        <v>18405183</v>
      </c>
    </row>
    <row r="25" spans="1:6" x14ac:dyDescent="0.25">
      <c r="A25" s="6" t="s">
        <v>6</v>
      </c>
      <c r="B25" s="7" t="s">
        <v>920</v>
      </c>
      <c r="D25" s="7"/>
      <c r="E25" s="6" t="s">
        <v>933</v>
      </c>
      <c r="F25" s="7"/>
    </row>
    <row r="26" spans="1:6" x14ac:dyDescent="0.25">
      <c r="A26" s="7" t="s">
        <v>51</v>
      </c>
      <c r="B26" s="8">
        <v>4908988</v>
      </c>
      <c r="D26" s="6" t="s">
        <v>2</v>
      </c>
      <c r="E26" s="7" t="s">
        <v>937</v>
      </c>
      <c r="F26" s="7" t="s">
        <v>935</v>
      </c>
    </row>
    <row r="27" spans="1:6" x14ac:dyDescent="0.25">
      <c r="A27" s="7" t="s">
        <v>16</v>
      </c>
      <c r="B27" s="8">
        <v>4388835</v>
      </c>
      <c r="D27" s="7" t="s">
        <v>13</v>
      </c>
      <c r="E27" s="8">
        <v>3366315</v>
      </c>
      <c r="F27" s="8">
        <v>4162201</v>
      </c>
    </row>
    <row r="28" spans="1:6" x14ac:dyDescent="0.25">
      <c r="A28" s="7" t="s">
        <v>38</v>
      </c>
      <c r="B28" s="8">
        <v>5477461</v>
      </c>
      <c r="D28" s="7" t="s">
        <v>92</v>
      </c>
      <c r="E28" s="8">
        <v>2611075</v>
      </c>
      <c r="F28" s="8">
        <v>3159110</v>
      </c>
    </row>
    <row r="29" spans="1:6" x14ac:dyDescent="0.25">
      <c r="A29" s="7" t="s">
        <v>23</v>
      </c>
      <c r="B29" s="8">
        <v>3629899</v>
      </c>
      <c r="D29" s="7" t="s">
        <v>72</v>
      </c>
      <c r="E29" s="8">
        <v>3616924</v>
      </c>
      <c r="F29" s="8">
        <v>4425089</v>
      </c>
    </row>
    <row r="30" spans="1:6" x14ac:dyDescent="0.25">
      <c r="A30" s="7" t="s">
        <v>919</v>
      </c>
      <c r="B30" s="8">
        <v>18405183</v>
      </c>
      <c r="D30" s="7" t="s">
        <v>21</v>
      </c>
      <c r="E30" s="8">
        <v>3010276</v>
      </c>
      <c r="F30" s="8">
        <v>3898633</v>
      </c>
    </row>
    <row r="31" spans="1:6" x14ac:dyDescent="0.25">
      <c r="D31" s="7" t="s">
        <v>114</v>
      </c>
      <c r="E31" s="8">
        <v>3346621</v>
      </c>
      <c r="F31" s="8">
        <v>4160632</v>
      </c>
    </row>
    <row r="32" spans="1:6" x14ac:dyDescent="0.25">
      <c r="D32" s="7" t="s">
        <v>46</v>
      </c>
      <c r="E32" s="8">
        <v>2453972</v>
      </c>
      <c r="F32" s="8">
        <v>3148285</v>
      </c>
    </row>
    <row r="33" spans="4:6" x14ac:dyDescent="0.25">
      <c r="D33" s="7" t="s">
        <v>919</v>
      </c>
      <c r="E33" s="8">
        <v>18405183</v>
      </c>
      <c r="F33" s="8">
        <v>22953950</v>
      </c>
    </row>
    <row r="50" spans="1:15" x14ac:dyDescent="0.25">
      <c r="A50" t="s">
        <v>2</v>
      </c>
      <c r="B50" t="s">
        <v>938</v>
      </c>
      <c r="D50" t="s">
        <v>3</v>
      </c>
      <c r="E50" t="s">
        <v>938</v>
      </c>
      <c r="G50" t="s">
        <v>918</v>
      </c>
      <c r="H50" t="s">
        <v>938</v>
      </c>
      <c r="J50" t="s">
        <v>6</v>
      </c>
      <c r="K50" t="s">
        <v>938</v>
      </c>
      <c r="M50" t="s">
        <v>2</v>
      </c>
      <c r="N50" t="s">
        <v>937</v>
      </c>
      <c r="O50" t="s">
        <v>8</v>
      </c>
    </row>
    <row r="51" spans="1:15" x14ac:dyDescent="0.25">
      <c r="A51" t="str">
        <f>Pivot!$A$4</f>
        <v>Engineering</v>
      </c>
      <c r="B51" s="2">
        <f>Pivot!$B$4</f>
        <v>3366315</v>
      </c>
      <c r="D51" t="str">
        <f>Pivot!$D$4</f>
        <v>Consulting</v>
      </c>
      <c r="E51" s="2">
        <f>Pivot!$E$4</f>
        <v>6030171</v>
      </c>
      <c r="G51" t="str">
        <f>Pivot!$G$4</f>
        <v>Jan</v>
      </c>
      <c r="H51" s="2">
        <f>Pivot!$H$4</f>
        <v>1379978</v>
      </c>
      <c r="J51" t="str">
        <f>Pivot!$A$26</f>
        <v>Bank Transfer</v>
      </c>
      <c r="K51" s="2">
        <f>Pivot!$B$26</f>
        <v>4908988</v>
      </c>
      <c r="M51" t="str">
        <f>Pivot!$D$27</f>
        <v>Engineering</v>
      </c>
      <c r="N51" s="2">
        <f>Pivot!$E$27</f>
        <v>3366315</v>
      </c>
      <c r="O51" s="2">
        <f>Pivot!$F$27</f>
        <v>4162201</v>
      </c>
    </row>
    <row r="52" spans="1:15" x14ac:dyDescent="0.25">
      <c r="A52" t="str">
        <f>Pivot!$A$5</f>
        <v>Finance</v>
      </c>
      <c r="B52" s="2">
        <f>Pivot!$B$5</f>
        <v>2611075</v>
      </c>
      <c r="D52" t="str">
        <f>Pivot!$D$5</f>
        <v>Equipment</v>
      </c>
      <c r="E52" s="2">
        <f>Pivot!$E$5</f>
        <v>3671418</v>
      </c>
      <c r="G52" t="str">
        <f>Pivot!$G$5</f>
        <v>Feb</v>
      </c>
      <c r="H52" s="2">
        <f>Pivot!$H$5</f>
        <v>1058599</v>
      </c>
      <c r="J52" t="str">
        <f>Pivot!$A$27</f>
        <v>Cash</v>
      </c>
      <c r="K52" s="2">
        <f>Pivot!$B$27</f>
        <v>4388835</v>
      </c>
      <c r="M52" t="str">
        <f>Pivot!$D$28</f>
        <v>Finance</v>
      </c>
      <c r="N52" s="2">
        <f>Pivot!$E$28</f>
        <v>2611075</v>
      </c>
      <c r="O52" s="2">
        <f>Pivot!$F$28</f>
        <v>3159110</v>
      </c>
    </row>
    <row r="53" spans="1:15" x14ac:dyDescent="0.25">
      <c r="A53" t="str">
        <f>Pivot!$A$6</f>
        <v>HR</v>
      </c>
      <c r="B53" s="2">
        <f>Pivot!$B$6</f>
        <v>3616924</v>
      </c>
      <c r="D53" t="str">
        <f>Pivot!$D$6</f>
        <v>Marketing</v>
      </c>
      <c r="E53" s="2">
        <f>Pivot!$E$6</f>
        <v>3505155</v>
      </c>
      <c r="G53" t="str">
        <f>Pivot!$G$6</f>
        <v>Mar</v>
      </c>
      <c r="H53" s="2">
        <f>Pivot!$H$6</f>
        <v>1179601</v>
      </c>
      <c r="J53" t="str">
        <f>Pivot!$A$28</f>
        <v>Cheque</v>
      </c>
      <c r="K53" s="2">
        <f>Pivot!$B$28</f>
        <v>5477461</v>
      </c>
      <c r="M53" t="str">
        <f>Pivot!$D$29</f>
        <v>HR</v>
      </c>
      <c r="N53" s="2">
        <f>Pivot!$E$29</f>
        <v>3616924</v>
      </c>
      <c r="O53" s="2">
        <f>Pivot!$F$29</f>
        <v>4425089</v>
      </c>
    </row>
    <row r="54" spans="1:15" x14ac:dyDescent="0.25">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Pivot!$D$30</f>
        <v>Marketing</v>
      </c>
      <c r="N54" s="2">
        <f>Pivot!$E$30</f>
        <v>3010276</v>
      </c>
      <c r="O54" s="2">
        <f>Pivot!$F$30</f>
        <v>3898633</v>
      </c>
    </row>
    <row r="55" spans="1:15" x14ac:dyDescent="0.25">
      <c r="A55" t="str">
        <f>Pivot!$A$8</f>
        <v>Operations</v>
      </c>
      <c r="B55" s="2">
        <f>Pivot!$B$8</f>
        <v>3346621</v>
      </c>
      <c r="D55" t="str">
        <f>Pivot!$D$8</f>
        <v>Software</v>
      </c>
      <c r="E55" s="2">
        <f>Pivot!$E$8</f>
        <v>1743238</v>
      </c>
      <c r="G55" t="str">
        <f>Pivot!$G$8</f>
        <v>May</v>
      </c>
      <c r="H55" s="2">
        <f>Pivot!$H$8</f>
        <v>1780658</v>
      </c>
      <c r="M55" t="str">
        <f>Pivot!$D$31</f>
        <v>Operations</v>
      </c>
      <c r="N55" s="2">
        <f>Pivot!$E$31</f>
        <v>3346621</v>
      </c>
      <c r="O55" s="2">
        <f>Pivot!$F$31</f>
        <v>4160632</v>
      </c>
    </row>
    <row r="56" spans="1:15" x14ac:dyDescent="0.25">
      <c r="A56" t="str">
        <f>Pivot!$A$9</f>
        <v>Sales</v>
      </c>
      <c r="B56" s="2">
        <f>Pivot!$B$9</f>
        <v>2453972</v>
      </c>
      <c r="D56" t="str">
        <f>Pivot!$D$9</f>
        <v>Training</v>
      </c>
      <c r="E56" s="2">
        <f>Pivot!$E$9</f>
        <v>772840</v>
      </c>
      <c r="G56" t="str">
        <f>Pivot!$G$9</f>
        <v>Jun</v>
      </c>
      <c r="H56" s="2">
        <f>Pivot!$H$9</f>
        <v>1286080</v>
      </c>
      <c r="M56" t="str">
        <f>Pivot!$D$32</f>
        <v>Sales</v>
      </c>
      <c r="N56" s="2">
        <f>Pivot!$E$32</f>
        <v>2453972</v>
      </c>
      <c r="O56" s="2">
        <f>Pivot!$F$32</f>
        <v>3148285</v>
      </c>
    </row>
    <row r="57" spans="1:15" x14ac:dyDescent="0.25">
      <c r="D57" t="str">
        <f>Pivot!$D$10</f>
        <v>Travel</v>
      </c>
      <c r="E57" s="2">
        <f>Pivot!$E$10</f>
        <v>2023948</v>
      </c>
      <c r="G57" t="str">
        <f>Pivot!$G$10</f>
        <v>Jul</v>
      </c>
      <c r="H57" s="2">
        <f>Pivot!$H$10</f>
        <v>2119404</v>
      </c>
    </row>
    <row r="58" spans="1:15" x14ac:dyDescent="0.25">
      <c r="D58" t="str">
        <f>Pivot!$D$11</f>
        <v>Utilities</v>
      </c>
      <c r="E58" s="2">
        <f>Pivot!$E$11</f>
        <v>450320</v>
      </c>
      <c r="G58" t="str">
        <f>Pivot!$G$11</f>
        <v>Aug</v>
      </c>
      <c r="H58" s="2">
        <f>Pivot!$H$11</f>
        <v>1669539</v>
      </c>
    </row>
    <row r="59" spans="1:15" x14ac:dyDescent="0.25">
      <c r="G59" t="str">
        <f>Pivot!$G$12</f>
        <v>Sept</v>
      </c>
      <c r="H59" s="2">
        <f>Pivot!$H$12</f>
        <v>1913484</v>
      </c>
    </row>
    <row r="60" spans="1:15" x14ac:dyDescent="0.25">
      <c r="G60" t="str">
        <f>Pivot!$G$13</f>
        <v>Oct</v>
      </c>
      <c r="H60" s="2">
        <f>Pivot!$H$13</f>
        <v>1365637</v>
      </c>
    </row>
    <row r="61" spans="1:15" x14ac:dyDescent="0.25">
      <c r="G61" t="str">
        <f>Pivot!$G$14</f>
        <v>Nov</v>
      </c>
      <c r="H61" s="2">
        <f>Pivot!$H$14</f>
        <v>1795988</v>
      </c>
    </row>
    <row r="62" spans="1:15" x14ac:dyDescent="0.25">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Areeba Riaz</cp:lastModifiedBy>
  <dcterms:created xsi:type="dcterms:W3CDTF">2026-05-19T08:07:04Z</dcterms:created>
  <dcterms:modified xsi:type="dcterms:W3CDTF">2026-08-04T07:44:25Z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