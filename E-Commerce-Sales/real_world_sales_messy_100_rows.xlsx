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542C82B0-2ADA-4A91-92BA-EABD4CA69F74}" xr6:coauthVersionLast="47" xr6:coauthVersionMax="47" xr10:uidLastSave="{00000000-0000-0000-0000-000000000000}"/>
  <bookViews>
    <workbookView xWindow="-120" yWindow="-120" windowWidth="20730" windowHeight="11760" activeTab="2" xr2:uid="{00000000-000D-0000-FFFF-FFFF00000000}"/>
  </bookViews>
  <sheets>
    <sheet name="Sheet5" sheetId="5" r:id="rId1"/>
    <sheet name="Sheet3" sheetId="3" r:id="rId2"/>
    <sheet name="Dashboard" sheetId="6" r:id="rId3"/>
    <sheet name="Sheet1" sheetId="1" r:id="rId4"/>
  </sheets>
  <definedNames>
    <definedName name="Slicer_Channel">#N/A</definedName>
    <definedName name="Slicer_Product">#N/A</definedName>
    <definedName name="Slicer_Region">#N/A</definedName>
    <definedName name="Slicer_Status">#N/A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 i="5" l="1"/>
  <c r="I93" i="1"/>
  <c r="L93"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4" i="1"/>
  <c r="L95" i="1"/>
  <c r="L96" i="1"/>
  <c r="L97" i="1"/>
  <c r="L98" i="1"/>
  <c r="L99" i="1"/>
  <c r="L100" i="1"/>
  <c r="L101" i="1"/>
  <c r="P2" i="1"/>
  <c r="A14" i="3"/>
  <c r="A12" i="3"/>
</calcChain>
</file>

<file path=xl/sharedStrings.xml><?xml version="1.0" encoding="utf-8"?>
<sst xmlns="http://schemas.openxmlformats.org/spreadsheetml/2006/main" count="838" uniqueCount="111">
  <si>
    <t>Order_ID</t>
  </si>
  <si>
    <t>Order_Date</t>
  </si>
  <si>
    <t>Customer_ID</t>
  </si>
  <si>
    <t>Region</t>
  </si>
  <si>
    <t>Product</t>
  </si>
  <si>
    <t>Channel</t>
  </si>
  <si>
    <t>Quantity</t>
  </si>
  <si>
    <t>Discount</t>
  </si>
  <si>
    <t>Sales</t>
  </si>
  <si>
    <t>Cost</t>
  </si>
  <si>
    <t>Profit</t>
  </si>
  <si>
    <t>Status</t>
  </si>
  <si>
    <t>2026-06-27</t>
  </si>
  <si>
    <t>2026-09-09</t>
  </si>
  <si>
    <t>2026-07-07</t>
  </si>
  <si>
    <t>2026-01-03</t>
  </si>
  <si>
    <t>2026-07-26</t>
  </si>
  <si>
    <t>2026-05-28</t>
  </si>
  <si>
    <t>2026-01-17</t>
  </si>
  <si>
    <t>2026-04-14</t>
  </si>
  <si>
    <t>2026-01-25</t>
  </si>
  <si>
    <t>2026-06-22</t>
  </si>
  <si>
    <t>2026-08-11</t>
  </si>
  <si>
    <t>2026-09-02</t>
  </si>
  <si>
    <t>2026-08-23</t>
  </si>
  <si>
    <t>2026-02-09</t>
  </si>
  <si>
    <t>2026-08-28</t>
  </si>
  <si>
    <t>2026-05-18</t>
  </si>
  <si>
    <t>2026-08-21</t>
  </si>
  <si>
    <t>2026-09-11</t>
  </si>
  <si>
    <t>2026-05-19</t>
  </si>
  <si>
    <t>2026-01-14</t>
  </si>
  <si>
    <t>C008</t>
  </si>
  <si>
    <t>C038</t>
  </si>
  <si>
    <t>C013</t>
  </si>
  <si>
    <t>C028</t>
  </si>
  <si>
    <t>C023</t>
  </si>
  <si>
    <t>C036</t>
  </si>
  <si>
    <t>C019</t>
  </si>
  <si>
    <t>C024</t>
  </si>
  <si>
    <t>C016</t>
  </si>
  <si>
    <t>C004</t>
  </si>
  <si>
    <t>C032</t>
  </si>
  <si>
    <t>C039</t>
  </si>
  <si>
    <t>C035</t>
  </si>
  <si>
    <t>C012</t>
  </si>
  <si>
    <t>C034</t>
  </si>
  <si>
    <t>C009</t>
  </si>
  <si>
    <t>C005</t>
  </si>
  <si>
    <t>C007</t>
  </si>
  <si>
    <t>C026</t>
  </si>
  <si>
    <t>C018</t>
  </si>
  <si>
    <t>C001</t>
  </si>
  <si>
    <t>C011</t>
  </si>
  <si>
    <t>C021</t>
  </si>
  <si>
    <t>C014</t>
  </si>
  <si>
    <t>C030</t>
  </si>
  <si>
    <t>C029</t>
  </si>
  <si>
    <t>C017</t>
  </si>
  <si>
    <t>C020</t>
  </si>
  <si>
    <t>C025</t>
  </si>
  <si>
    <t>C031</t>
  </si>
  <si>
    <t>C027</t>
  </si>
  <si>
    <t>C022</t>
  </si>
  <si>
    <t>C002</t>
  </si>
  <si>
    <t>C010</t>
  </si>
  <si>
    <t>C040</t>
  </si>
  <si>
    <t>C006</t>
  </si>
  <si>
    <t>C015</t>
  </si>
  <si>
    <t>Lahore</t>
  </si>
  <si>
    <t>Multan</t>
  </si>
  <si>
    <t>Islamabad</t>
  </si>
  <si>
    <t>lahore</t>
  </si>
  <si>
    <t>Karachi</t>
  </si>
  <si>
    <t xml:space="preserve">Karachi </t>
  </si>
  <si>
    <t>Tablet</t>
  </si>
  <si>
    <t>Laptop</t>
  </si>
  <si>
    <t>Phone</t>
  </si>
  <si>
    <t>Headphones</t>
  </si>
  <si>
    <t>Monitor</t>
  </si>
  <si>
    <t>phone</t>
  </si>
  <si>
    <t xml:space="preserve">Laptop </t>
  </si>
  <si>
    <t>Online</t>
  </si>
  <si>
    <t>Retail</t>
  </si>
  <si>
    <t>Corporate</t>
  </si>
  <si>
    <t>Completed</t>
  </si>
  <si>
    <t>Returned</t>
  </si>
  <si>
    <t>Cancelled</t>
  </si>
  <si>
    <t>completed</t>
  </si>
  <si>
    <t xml:space="preserve">Returned </t>
  </si>
  <si>
    <t>Unknown</t>
  </si>
  <si>
    <t>Sum of Sales</t>
  </si>
  <si>
    <t>Count of Order_ID</t>
  </si>
  <si>
    <t>Sum of Profit</t>
  </si>
  <si>
    <t>Row Labels</t>
  </si>
  <si>
    <t>Grand Total</t>
  </si>
  <si>
    <t>Count of Customer_ID</t>
  </si>
  <si>
    <t>AOV</t>
  </si>
  <si>
    <t>Profit Margin</t>
  </si>
  <si>
    <t>Sum of Profit Margin</t>
  </si>
  <si>
    <t>Profit margin</t>
  </si>
  <si>
    <t>Column Labels</t>
  </si>
  <si>
    <t>September</t>
  </si>
  <si>
    <t>January</t>
  </si>
  <si>
    <t>March</t>
  </si>
  <si>
    <t>July</t>
  </si>
  <si>
    <t>April</t>
  </si>
  <si>
    <t>June</t>
  </si>
  <si>
    <t>February</t>
  </si>
  <si>
    <t>May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</si>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</sst>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name val="Calibri"/>
      <family val="2"/>
      <scheme val="minor"/>
    </font>
    <font>
      <b/>
      <sz val="20"/>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5" tint="0.39997558519241921"/>
        <bgColor indexed="64"/>
      </patternFill>
    </fill>
    <fill>
      <patternFill patternType="solid">
        <fgColor theme="0"/>
        <bgColor indexed="64"/>
      </patternFill>
    </fill>
  </fills>
  <borders count="10">
    <border>
      <left/>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9" fontId="1" fillId="0" borderId="1" xfId="1" applyFont="1" applyBorder="1" applyAlignment="1">
      <alignment horizontal="center" vertical="top"/>
    </xf>
    <xf numFmtId="9" fontId="0" fillId="0" borderId="0" xfId="1" applyFont="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166" fontId="1" fillId="0" borderId="1" xfId="0" applyNumberFormat="1" applyFont="1" applyBorder="1" applyAlignment="1">
      <alignment horizontal="center" vertical="top"/>
    </xf>
    <xf numFmtId="166" fontId="0" fillId="0" borderId="0" xfId="0" applyNumberFormat="1"/>
    <xf numFmtId="0" fontId="5"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2" borderId="3" xfId="0" applyFill="1" applyBorder="1"/>
    <xf numFmtId="0" fontId="0" fillId="2" borderId="4" xfId="0" applyFill="1" applyBorder="1"/>
    <xf numFmtId="0" fontId="4" fillId="2" borderId="5" xfId="0" applyFont="1" applyFill="1" applyBorder="1" applyAlignment="1">
      <alignment horizontal="center" vertical="center"/>
    </xf>
    <xf numFmtId="0" fontId="4" fillId="2" borderId="0" xfId="0" applyFont="1" applyFill="1" applyBorder="1" applyAlignment="1">
      <alignment horizontal="center" vertical="center"/>
    </xf>
    <xf numFmtId="0" fontId="0" fillId="2" borderId="0" xfId="0" applyFill="1" applyBorder="1"/>
    <xf numFmtId="0" fontId="0" fillId="2" borderId="6" xfId="0" applyFill="1" applyBorder="1"/>
    <xf numFmtId="0" fontId="0" fillId="3" borderId="0" xfId="0" applyFill="1" applyBorder="1"/>
    <xf numFmtId="0" fontId="0" fillId="3" borderId="6" xfId="0" applyFill="1" applyBorder="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0" fillId="4" borderId="0" xfId="0" applyFill="1"/>
  </cellXfs>
  <cellStyles count="2">
    <cellStyle name="Normal" xfId="0" builtinId="0"/>
    <cellStyle name="Per cent" xfId="1" builtinId="5"/>
  </cellStyles>
  <dxfs count="4">
    <dxf>
      <numFmt numFmtId="166" formatCode="mm"/>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Sheet3!$E$3</c:f>
              <c:strCache>
                <c:ptCount val="1"/>
                <c:pt idx="0">
                  <c:v>Total</c:v>
                </c:pt>
              </c:strCache>
            </c:strRef>
          </c:tx>
          <c:spPr>
            <a:solidFill>
              <a:schemeClr val="accent1"/>
            </a:solidFill>
            <a:ln>
              <a:noFill/>
            </a:ln>
            <a:effectLst/>
          </c:spPr>
          <c:invertIfNegative val="0"/>
          <c:cat>
            <c:strRef>
              <c:f>Sheet3!$D$4:$D$9</c:f>
              <c:strCache>
                <c:ptCount val="5"/>
                <c:pt idx="0">
                  <c:v>Headphones</c:v>
                </c:pt>
                <c:pt idx="1">
                  <c:v>Laptop</c:v>
                </c:pt>
                <c:pt idx="2">
                  <c:v>Monitor</c:v>
                </c:pt>
                <c:pt idx="3">
                  <c:v>Phone</c:v>
                </c:pt>
                <c:pt idx="4">
                  <c:v>Tablet</c:v>
                </c:pt>
              </c:strCache>
            </c:strRef>
          </c:cat>
          <c:val>
            <c:numRef>
              <c:f>Sheet3!$E$4:$E$9</c:f>
              <c:numCache>
                <c:formatCode>General</c:formatCode>
                <c:ptCount val="5"/>
                <c:pt idx="0">
                  <c:v>90400</c:v>
                </c:pt>
                <c:pt idx="1">
                  <c:v>1374000</c:v>
                </c:pt>
                <c:pt idx="2">
                  <c:v>255500</c:v>
                </c:pt>
                <c:pt idx="3">
                  <c:v>1144500</c:v>
                </c:pt>
                <c:pt idx="4">
                  <c:v>256500</c:v>
                </c:pt>
              </c:numCache>
            </c:numRef>
          </c:val>
          <c:extLst>
            <c:ext xmlns:c16="http://schemas.microsoft.com/office/drawing/2014/chart" uri="{C3380CC4-5D6E-409C-BE32-E72D297353CC}">
              <c16:uniqueId val="{00000000-636F-43F4-8C53-3A44E8BD010E}"/>
            </c:ext>
          </c:extLst>
        </c:ser>
        <c:dLbls>
          <c:showLegendKey val="0"/>
          <c:showVal val="0"/>
          <c:showCatName val="0"/>
          <c:showSerName val="0"/>
          <c:showPercent val="0"/>
          <c:showBubbleSize val="0"/>
        </c:dLbls>
        <c:gapWidth val="219"/>
        <c:overlap val="-27"/>
        <c:axId val="863014368"/>
        <c:axId val="863016288"/>
      </c:barChart>
      <c:catAx>
        <c:axId val="86301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3016288"/>
        <c:crosses val="autoZero"/>
        <c:auto val="1"/>
        <c:lblAlgn val="ctr"/>
        <c:lblOffset val="100"/>
        <c:noMultiLvlLbl val="0"/>
      </c:catAx>
      <c:valAx>
        <c:axId val="863016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301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Sheet3!$E$12</c:f>
              <c:strCache>
                <c:ptCount val="1"/>
                <c:pt idx="0">
                  <c:v>Total</c:v>
                </c:pt>
              </c:strCache>
            </c:strRef>
          </c:tx>
          <c:spPr>
            <a:solidFill>
              <a:schemeClr val="accent1"/>
            </a:solidFill>
            <a:ln>
              <a:noFill/>
            </a:ln>
            <a:effectLst/>
            <a:sp3d/>
          </c:spPr>
          <c:invertIfNegative val="0"/>
          <c:cat>
            <c:strRef>
              <c:f>Sheet3!$D$13:$D$18</c:f>
              <c:strCache>
                <c:ptCount val="5"/>
                <c:pt idx="0">
                  <c:v>Headphones</c:v>
                </c:pt>
                <c:pt idx="1">
                  <c:v>Laptop</c:v>
                </c:pt>
                <c:pt idx="2">
                  <c:v>Monitor</c:v>
                </c:pt>
                <c:pt idx="3">
                  <c:v>Phone</c:v>
                </c:pt>
                <c:pt idx="4">
                  <c:v>Tablet</c:v>
                </c:pt>
              </c:strCache>
            </c:strRef>
          </c:cat>
          <c:val>
            <c:numRef>
              <c:f>Sheet3!$E$13:$E$18</c:f>
              <c:numCache>
                <c:formatCode>General</c:formatCode>
                <c:ptCount val="5"/>
                <c:pt idx="0">
                  <c:v>19621</c:v>
                </c:pt>
                <c:pt idx="1">
                  <c:v>321861</c:v>
                </c:pt>
                <c:pt idx="2">
                  <c:v>53439</c:v>
                </c:pt>
                <c:pt idx="3">
                  <c:v>230911</c:v>
                </c:pt>
                <c:pt idx="4">
                  <c:v>85529</c:v>
                </c:pt>
              </c:numCache>
            </c:numRef>
          </c:val>
          <c:extLst>
            <c:ext xmlns:c16="http://schemas.microsoft.com/office/drawing/2014/chart" uri="{C3380CC4-5D6E-409C-BE32-E72D297353CC}">
              <c16:uniqueId val="{00000000-3FB4-40C2-B90D-1CF01E9B7E91}"/>
            </c:ext>
          </c:extLst>
        </c:ser>
        <c:dLbls>
          <c:showLegendKey val="0"/>
          <c:showVal val="0"/>
          <c:showCatName val="0"/>
          <c:showSerName val="0"/>
          <c:showPercent val="0"/>
          <c:showBubbleSize val="0"/>
        </c:dLbls>
        <c:gapWidth val="150"/>
        <c:shape val="box"/>
        <c:axId val="1067976320"/>
        <c:axId val="1067980160"/>
        <c:axId val="0"/>
      </c:bar3DChart>
      <c:catAx>
        <c:axId val="106797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80160"/>
        <c:crosses val="autoZero"/>
        <c:auto val="1"/>
        <c:lblAlgn val="ctr"/>
        <c:lblOffset val="100"/>
        <c:noMultiLvlLbl val="0"/>
      </c:catAx>
      <c:valAx>
        <c:axId val="1067980160"/>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7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Sheet3!$H$13</c:f>
              <c:strCache>
                <c:ptCount val="1"/>
                <c:pt idx="0">
                  <c:v>Total</c:v>
                </c:pt>
              </c:strCache>
            </c:strRef>
          </c:tx>
          <c:spPr>
            <a:solidFill>
              <a:schemeClr val="accent1"/>
            </a:solidFill>
            <a:ln>
              <a:noFill/>
            </a:ln>
            <a:effectLst/>
          </c:spPr>
          <c:invertIfNegative val="0"/>
          <c:cat>
            <c:strRef>
              <c:f>Sheet3!$G$14:$G$19</c:f>
              <c:strCache>
                <c:ptCount val="5"/>
                <c:pt idx="0">
                  <c:v>Islamabad</c:v>
                </c:pt>
                <c:pt idx="1">
                  <c:v>Karachi</c:v>
                </c:pt>
                <c:pt idx="2">
                  <c:v>Karachi </c:v>
                </c:pt>
                <c:pt idx="3">
                  <c:v>Lahore</c:v>
                </c:pt>
                <c:pt idx="4">
                  <c:v>Multan</c:v>
                </c:pt>
              </c:strCache>
            </c:strRef>
          </c:cat>
          <c:val>
            <c:numRef>
              <c:f>Sheet3!$H$14:$H$19</c:f>
              <c:numCache>
                <c:formatCode>General</c:formatCode>
                <c:ptCount val="5"/>
                <c:pt idx="0">
                  <c:v>607500</c:v>
                </c:pt>
                <c:pt idx="1">
                  <c:v>595300</c:v>
                </c:pt>
                <c:pt idx="2">
                  <c:v>29750</c:v>
                </c:pt>
                <c:pt idx="3">
                  <c:v>1501000</c:v>
                </c:pt>
                <c:pt idx="4">
                  <c:v>387350</c:v>
                </c:pt>
              </c:numCache>
            </c:numRef>
          </c:val>
          <c:extLst>
            <c:ext xmlns:c16="http://schemas.microsoft.com/office/drawing/2014/chart" uri="{C3380CC4-5D6E-409C-BE32-E72D297353CC}">
              <c16:uniqueId val="{00000000-674C-40A5-8188-1402E39023D6}"/>
            </c:ext>
          </c:extLst>
        </c:ser>
        <c:dLbls>
          <c:showLegendKey val="0"/>
          <c:showVal val="0"/>
          <c:showCatName val="0"/>
          <c:showSerName val="0"/>
          <c:showPercent val="0"/>
          <c:showBubbleSize val="0"/>
        </c:dLbls>
        <c:gapWidth val="182"/>
        <c:axId val="1067974400"/>
        <c:axId val="1067974880"/>
      </c:barChart>
      <c:catAx>
        <c:axId val="106797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74880"/>
        <c:crosses val="autoZero"/>
        <c:auto val="1"/>
        <c:lblAlgn val="ctr"/>
        <c:lblOffset val="100"/>
        <c:noMultiLvlLbl val="0"/>
      </c:catAx>
      <c:valAx>
        <c:axId val="106797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7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Sheet3!$H$24</c:f>
              <c:strCache>
                <c:ptCount val="1"/>
                <c:pt idx="0">
                  <c:v>Total</c:v>
                </c:pt>
              </c:strCache>
            </c:strRef>
          </c:tx>
          <c:spPr>
            <a:solidFill>
              <a:schemeClr val="accent1"/>
            </a:solidFill>
            <a:ln>
              <a:noFill/>
            </a:ln>
            <a:effectLst/>
          </c:spPr>
          <c:invertIfNegative val="0"/>
          <c:cat>
            <c:strRef>
              <c:f>Sheet3!$G$25:$G$26</c:f>
              <c:strCache>
                <c:ptCount val="1"/>
                <c:pt idx="0">
                  <c:v>Corporate</c:v>
                </c:pt>
              </c:strCache>
            </c:strRef>
          </c:cat>
          <c:val>
            <c:numRef>
              <c:f>Sheet3!$H$25:$H$26</c:f>
              <c:numCache>
                <c:formatCode>General</c:formatCode>
                <c:ptCount val="1"/>
                <c:pt idx="0">
                  <c:v>3120900</c:v>
                </c:pt>
              </c:numCache>
            </c:numRef>
          </c:val>
          <c:extLst>
            <c:ext xmlns:c16="http://schemas.microsoft.com/office/drawing/2014/chart" uri="{C3380CC4-5D6E-409C-BE32-E72D297353CC}">
              <c16:uniqueId val="{00000000-23F8-44FE-A9E7-3EDAF131A587}"/>
            </c:ext>
          </c:extLst>
        </c:ser>
        <c:dLbls>
          <c:showLegendKey val="0"/>
          <c:showVal val="0"/>
          <c:showCatName val="0"/>
          <c:showSerName val="0"/>
          <c:showPercent val="0"/>
          <c:showBubbleSize val="0"/>
        </c:dLbls>
        <c:gapWidth val="182"/>
        <c:axId val="1067978720"/>
        <c:axId val="1067982080"/>
      </c:barChart>
      <c:catAx>
        <c:axId val="106797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82080"/>
        <c:crosses val="autoZero"/>
        <c:auto val="1"/>
        <c:lblAlgn val="ctr"/>
        <c:lblOffset val="100"/>
        <c:noMultiLvlLbl val="0"/>
      </c:catAx>
      <c:valAx>
        <c:axId val="106798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6797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Sheet3!$N$24:$N$25</c:f>
              <c:strCache>
                <c:ptCount val="1"/>
                <c:pt idx="0">
                  <c:v>Cancelled</c:v>
                </c:pt>
              </c:strCache>
            </c:strRef>
          </c:tx>
          <c:spPr>
            <a:solidFill>
              <a:schemeClr val="accent1"/>
            </a:solidFill>
            <a:ln>
              <a:noFill/>
            </a:ln>
            <a:effectLst/>
          </c:spPr>
          <c:invertIfNegative val="0"/>
          <c:cat>
            <c:strRef>
              <c:f>Sheet3!$M$26:$M$27</c:f>
              <c:strCache>
                <c:ptCount val="1"/>
                <c:pt idx="0">
                  <c:v>Corporate</c:v>
                </c:pt>
              </c:strCache>
            </c:strRef>
          </c:cat>
          <c:val>
            <c:numRef>
              <c:f>Sheet3!$N$26:$N$27</c:f>
              <c:numCache>
                <c:formatCode>General</c:formatCode>
                <c:ptCount val="1"/>
                <c:pt idx="0">
                  <c:v>5</c:v>
                </c:pt>
              </c:numCache>
            </c:numRef>
          </c:val>
          <c:extLst>
            <c:ext xmlns:c16="http://schemas.microsoft.com/office/drawing/2014/chart" uri="{C3380CC4-5D6E-409C-BE32-E72D297353CC}">
              <c16:uniqueId val="{00000000-118D-4CF1-B37D-2ECEB9C4400D}"/>
            </c:ext>
          </c:extLst>
        </c:ser>
        <c:ser>
          <c:idx val="1"/>
          <c:order val="1"/>
          <c:tx>
            <c:strRef>
              <c:f>Sheet3!$O$24:$O$25</c:f>
              <c:strCache>
                <c:ptCount val="1"/>
                <c:pt idx="0">
                  <c:v>Completed</c:v>
                </c:pt>
              </c:strCache>
            </c:strRef>
          </c:tx>
          <c:spPr>
            <a:solidFill>
              <a:schemeClr val="accent2"/>
            </a:solidFill>
            <a:ln>
              <a:noFill/>
            </a:ln>
            <a:effectLst/>
          </c:spPr>
          <c:invertIfNegative val="0"/>
          <c:cat>
            <c:strRef>
              <c:f>Sheet3!$M$26:$M$27</c:f>
              <c:strCache>
                <c:ptCount val="1"/>
                <c:pt idx="0">
                  <c:v>Corporate</c:v>
                </c:pt>
              </c:strCache>
            </c:strRef>
          </c:cat>
          <c:val>
            <c:numRef>
              <c:f>Sheet3!$O$26:$O$27</c:f>
              <c:numCache>
                <c:formatCode>General</c:formatCode>
                <c:ptCount val="1"/>
                <c:pt idx="0">
                  <c:v>13</c:v>
                </c:pt>
              </c:numCache>
            </c:numRef>
          </c:val>
          <c:extLst>
            <c:ext xmlns:c16="http://schemas.microsoft.com/office/drawing/2014/chart" uri="{C3380CC4-5D6E-409C-BE32-E72D297353CC}">
              <c16:uniqueId val="{0000000D-118D-4CF1-B37D-2ECEB9C4400D}"/>
            </c:ext>
          </c:extLst>
        </c:ser>
        <c:ser>
          <c:idx val="2"/>
          <c:order val="2"/>
          <c:tx>
            <c:strRef>
              <c:f>Sheet3!$P$24:$P$25</c:f>
              <c:strCache>
                <c:ptCount val="1"/>
                <c:pt idx="0">
                  <c:v>Returned</c:v>
                </c:pt>
              </c:strCache>
            </c:strRef>
          </c:tx>
          <c:spPr>
            <a:solidFill>
              <a:schemeClr val="accent3"/>
            </a:solidFill>
            <a:ln>
              <a:noFill/>
            </a:ln>
            <a:effectLst/>
          </c:spPr>
          <c:invertIfNegative val="0"/>
          <c:cat>
            <c:strRef>
              <c:f>Sheet3!$M$26:$M$27</c:f>
              <c:strCache>
                <c:ptCount val="1"/>
                <c:pt idx="0">
                  <c:v>Corporate</c:v>
                </c:pt>
              </c:strCache>
            </c:strRef>
          </c:cat>
          <c:val>
            <c:numRef>
              <c:f>Sheet3!$P$26:$P$27</c:f>
              <c:numCache>
                <c:formatCode>General</c:formatCode>
                <c:ptCount val="1"/>
                <c:pt idx="0">
                  <c:v>8</c:v>
                </c:pt>
              </c:numCache>
            </c:numRef>
          </c:val>
          <c:extLst>
            <c:ext xmlns:c16="http://schemas.microsoft.com/office/drawing/2014/chart" uri="{C3380CC4-5D6E-409C-BE32-E72D297353CC}">
              <c16:uniqueId val="{0000000E-118D-4CF1-B37D-2ECEB9C4400D}"/>
            </c:ext>
          </c:extLst>
        </c:ser>
        <c:dLbls>
          <c:showLegendKey val="0"/>
          <c:showVal val="0"/>
          <c:showCatName val="0"/>
          <c:showSerName val="0"/>
          <c:showPercent val="0"/>
          <c:showBubbleSize val="0"/>
        </c:dLbls>
        <c:gapWidth val="219"/>
        <c:overlap val="-27"/>
        <c:axId val="962107712"/>
        <c:axId val="962114432"/>
      </c:barChart>
      <c:catAx>
        <c:axId val="9621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2114432"/>
        <c:crosses val="autoZero"/>
        <c:auto val="1"/>
        <c:lblAlgn val="ctr"/>
        <c:lblOffset val="100"/>
        <c:noMultiLvlLbl val="0"/>
      </c:catAx>
      <c:valAx>
        <c:axId val="96211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6210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Sheet3!$AC$3</c:f>
              <c:strCache>
                <c:ptCount val="1"/>
                <c:pt idx="0">
                  <c:v>Total</c:v>
                </c:pt>
              </c:strCache>
            </c:strRef>
          </c:tx>
          <c:spPr>
            <a:solidFill>
              <a:schemeClr val="accent1"/>
            </a:solidFill>
            <a:ln>
              <a:noFill/>
            </a:ln>
            <a:effectLst/>
          </c:spPr>
          <c:invertIfNegative val="0"/>
          <c:cat>
            <c:strRef>
              <c:f>Sheet3!$AB$4:$AB$13</c:f>
              <c:strCache>
                <c:ptCount val="9"/>
                <c:pt idx="0">
                  <c:v>January</c:v>
                </c:pt>
                <c:pt idx="1">
                  <c:v>February</c:v>
                </c:pt>
                <c:pt idx="2">
                  <c:v>March</c:v>
                </c:pt>
                <c:pt idx="3">
                  <c:v>April</c:v>
                </c:pt>
                <c:pt idx="4">
                  <c:v>May</c:v>
                </c:pt>
                <c:pt idx="5">
                  <c:v>June</c:v>
                </c:pt>
                <c:pt idx="6">
                  <c:v>July</c:v>
                </c:pt>
                <c:pt idx="7">
                  <c:v>August</c:v>
                </c:pt>
                <c:pt idx="8">
                  <c:v>September</c:v>
                </c:pt>
              </c:strCache>
            </c:strRef>
          </c:cat>
          <c:val>
            <c:numRef>
              <c:f>Sheet3!$AC$4:$AC$13</c:f>
              <c:numCache>
                <c:formatCode>General</c:formatCode>
                <c:ptCount val="9"/>
                <c:pt idx="0">
                  <c:v>363500</c:v>
                </c:pt>
                <c:pt idx="1">
                  <c:v>135250</c:v>
                </c:pt>
                <c:pt idx="2">
                  <c:v>526000</c:v>
                </c:pt>
                <c:pt idx="3">
                  <c:v>731600</c:v>
                </c:pt>
                <c:pt idx="4">
                  <c:v>178600</c:v>
                </c:pt>
                <c:pt idx="5">
                  <c:v>228000</c:v>
                </c:pt>
                <c:pt idx="6">
                  <c:v>29750</c:v>
                </c:pt>
                <c:pt idx="7">
                  <c:v>454500</c:v>
                </c:pt>
                <c:pt idx="8">
                  <c:v>473700</c:v>
                </c:pt>
              </c:numCache>
            </c:numRef>
          </c:val>
          <c:extLst>
            <c:ext xmlns:c16="http://schemas.microsoft.com/office/drawing/2014/chart" uri="{C3380CC4-5D6E-409C-BE32-E72D297353CC}">
              <c16:uniqueId val="{00000000-4FEA-4BA6-8928-E8672B3EAFB4}"/>
            </c:ext>
          </c:extLst>
        </c:ser>
        <c:dLbls>
          <c:showLegendKey val="0"/>
          <c:showVal val="0"/>
          <c:showCatName val="0"/>
          <c:showSerName val="0"/>
          <c:showPercent val="0"/>
          <c:showBubbleSize val="0"/>
        </c:dLbls>
        <c:gapWidth val="219"/>
        <c:overlap val="-27"/>
        <c:axId val="738084960"/>
        <c:axId val="738086400"/>
      </c:barChart>
      <c:catAx>
        <c:axId val="7380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38086400"/>
        <c:crosses val="autoZero"/>
        <c:auto val="1"/>
        <c:lblAlgn val="ctr"/>
        <c:lblOffset val="100"/>
        <c:noMultiLvlLbl val="0"/>
      </c:catAx>
      <c:valAx>
        <c:axId val="73808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3808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channels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Sheet3!$K$24</c:f>
              <c:strCache>
                <c:ptCount val="1"/>
                <c:pt idx="0">
                  <c:v>Total</c:v>
                </c:pt>
              </c:strCache>
            </c:strRef>
          </c:tx>
          <c:dPt>
            <c:idx val="0"/>
            <c:bubble3D val="0"/>
            <c:spPr>
              <a:solidFill>
                <a:schemeClr val="accent1"/>
              </a:solidFill>
              <a:ln w="19050">
                <a:solidFill>
                  <a:schemeClr val="lt1"/>
                </a:solidFill>
              </a:ln>
              <a:effectLst/>
            </c:spPr>
          </c:dPt>
          <c:cat>
            <c:strRef>
              <c:f>Sheet3!$J$25:$J$26</c:f>
              <c:strCache>
                <c:ptCount val="1"/>
                <c:pt idx="0">
                  <c:v>Corporate</c:v>
                </c:pt>
              </c:strCache>
            </c:strRef>
          </c:cat>
          <c:val>
            <c:numRef>
              <c:f>Sheet3!$K$25:$K$26</c:f>
              <c:numCache>
                <c:formatCode>General</c:formatCode>
                <c:ptCount val="1"/>
                <c:pt idx="0">
                  <c:v>711361</c:v>
                </c:pt>
              </c:numCache>
            </c:numRef>
          </c:val>
          <c:extLst>
            <c:ext xmlns:c16="http://schemas.microsoft.com/office/drawing/2014/chart" uri="{C3380CC4-5D6E-409C-BE32-E72D297353CC}">
              <c16:uniqueId val="{00000000-B8C4-4782-BF05-11167C947E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Status by Channel</a:t>
            </a:r>
            <a:endParaRPr lang="en-US" b="1">
              <a:solidFill>
                <a:schemeClr val="tx1"/>
              </a:solidFill>
            </a:endParaRPr>
          </a:p>
        </c:rich>
      </c:tx>
      <c:layout>
        <c:manualLayout>
          <c:xMode val="edge"/>
          <c:yMode val="edge"/>
          <c:x val="0.34995734649460764"/>
          <c:y val="3.55277029621361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60077973531046E-2"/>
          <c:y val="0.21961951013001593"/>
          <c:w val="0.8818373899185773"/>
          <c:h val="0.64301752972518833"/>
        </c:manualLayout>
      </c:layout>
      <c:barChart>
        <c:barDir val="col"/>
        <c:grouping val="clustered"/>
        <c:varyColors val="0"/>
        <c:ser>
          <c:idx val="0"/>
          <c:order val="0"/>
          <c:tx>
            <c:strRef>
              <c:f>Sheet3!$N$24:$N$25</c:f>
              <c:strCache>
                <c:ptCount val="1"/>
                <c:pt idx="0">
                  <c:v>Cancelled</c:v>
                </c:pt>
              </c:strCache>
            </c:strRef>
          </c:tx>
          <c:spPr>
            <a:solidFill>
              <a:schemeClr val="accent1"/>
            </a:solidFill>
            <a:ln>
              <a:noFill/>
            </a:ln>
            <a:effectLst/>
          </c:spPr>
          <c:invertIfNegative val="0"/>
          <c:cat>
            <c:strRef>
              <c:f>Sheet3!$M$26:$M$27</c:f>
              <c:strCache>
                <c:ptCount val="1"/>
                <c:pt idx="0">
                  <c:v>Corporate</c:v>
                </c:pt>
              </c:strCache>
            </c:strRef>
          </c:cat>
          <c:val>
            <c:numRef>
              <c:f>Sheet3!$N$26:$N$27</c:f>
              <c:numCache>
                <c:formatCode>General</c:formatCode>
                <c:ptCount val="1"/>
                <c:pt idx="0">
                  <c:v>5</c:v>
                </c:pt>
              </c:numCache>
            </c:numRef>
          </c:val>
          <c:extLst>
            <c:ext xmlns:c16="http://schemas.microsoft.com/office/drawing/2014/chart" uri="{C3380CC4-5D6E-409C-BE32-E72D297353CC}">
              <c16:uniqueId val="{00000000-9B37-491A-A920-A4CBE51C9D8F}"/>
            </c:ext>
          </c:extLst>
        </c:ser>
        <c:ser>
          <c:idx val="1"/>
          <c:order val="1"/>
          <c:tx>
            <c:strRef>
              <c:f>Sheet3!$O$24:$O$25</c:f>
              <c:strCache>
                <c:ptCount val="1"/>
                <c:pt idx="0">
                  <c:v>Completed</c:v>
                </c:pt>
              </c:strCache>
            </c:strRef>
          </c:tx>
          <c:spPr>
            <a:solidFill>
              <a:schemeClr val="accent2">
                <a:lumMod val="75000"/>
              </a:schemeClr>
            </a:solidFill>
            <a:ln>
              <a:noFill/>
            </a:ln>
            <a:effectLst/>
          </c:spPr>
          <c:invertIfNegative val="0"/>
          <c:cat>
            <c:strRef>
              <c:f>Sheet3!$M$26:$M$27</c:f>
              <c:strCache>
                <c:ptCount val="1"/>
                <c:pt idx="0">
                  <c:v>Corporate</c:v>
                </c:pt>
              </c:strCache>
            </c:strRef>
          </c:cat>
          <c:val>
            <c:numRef>
              <c:f>Sheet3!$O$26:$O$27</c:f>
              <c:numCache>
                <c:formatCode>General</c:formatCode>
                <c:ptCount val="1"/>
                <c:pt idx="0">
                  <c:v>13</c:v>
                </c:pt>
              </c:numCache>
            </c:numRef>
          </c:val>
          <c:extLst>
            <c:ext xmlns:c16="http://schemas.microsoft.com/office/drawing/2014/chart" uri="{C3380CC4-5D6E-409C-BE32-E72D297353CC}">
              <c16:uniqueId val="{0000000D-9B37-491A-A920-A4CBE51C9D8F}"/>
            </c:ext>
          </c:extLst>
        </c:ser>
        <c:ser>
          <c:idx val="2"/>
          <c:order val="2"/>
          <c:tx>
            <c:strRef>
              <c:f>Sheet3!$P$24:$P$25</c:f>
              <c:strCache>
                <c:ptCount val="1"/>
                <c:pt idx="0">
                  <c:v>Returned</c:v>
                </c:pt>
              </c:strCache>
            </c:strRef>
          </c:tx>
          <c:spPr>
            <a:solidFill>
              <a:schemeClr val="accent3"/>
            </a:solidFill>
            <a:ln>
              <a:noFill/>
            </a:ln>
            <a:effectLst/>
          </c:spPr>
          <c:invertIfNegative val="0"/>
          <c:cat>
            <c:strRef>
              <c:f>Sheet3!$M$26:$M$27</c:f>
              <c:strCache>
                <c:ptCount val="1"/>
                <c:pt idx="0">
                  <c:v>Corporate</c:v>
                </c:pt>
              </c:strCache>
            </c:strRef>
          </c:cat>
          <c:val>
            <c:numRef>
              <c:f>Sheet3!$P$26:$P$27</c:f>
              <c:numCache>
                <c:formatCode>General</c:formatCode>
                <c:ptCount val="1"/>
                <c:pt idx="0">
                  <c:v>8</c:v>
                </c:pt>
              </c:numCache>
            </c:numRef>
          </c:val>
          <c:extLst>
            <c:ext xmlns:c16="http://schemas.microsoft.com/office/drawing/2014/chart" uri="{C3380CC4-5D6E-409C-BE32-E72D297353CC}">
              <c16:uniqueId val="{0000000E-9B37-491A-A920-A4CBE51C9D8F}"/>
            </c:ext>
          </c:extLst>
        </c:ser>
        <c:dLbls>
          <c:showLegendKey val="0"/>
          <c:showVal val="0"/>
          <c:showCatName val="0"/>
          <c:showSerName val="0"/>
          <c:showPercent val="0"/>
          <c:showBubbleSize val="0"/>
        </c:dLbls>
        <c:gapWidth val="219"/>
        <c:overlap val="-27"/>
        <c:axId val="962107712"/>
        <c:axId val="962114432"/>
      </c:barChart>
      <c:catAx>
        <c:axId val="9621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962114432"/>
        <c:crosses val="autoZero"/>
        <c:auto val="1"/>
        <c:lblAlgn val="ctr"/>
        <c:lblOffset val="100"/>
        <c:noMultiLvlLbl val="0"/>
      </c:catAx>
      <c:valAx>
        <c:axId val="96211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962107712"/>
        <c:crosses val="autoZero"/>
        <c:crossBetween val="between"/>
      </c:valAx>
      <c:spPr>
        <a:solidFill>
          <a:schemeClr val="accent2">
            <a:lumMod val="40000"/>
            <a:lumOff val="60000"/>
          </a:schemeClr>
        </a:solidFill>
        <a:ln>
          <a:noFill/>
        </a:ln>
        <a:effectLst/>
      </c:spPr>
    </c:plotArea>
    <c:legend>
      <c:legendPos val="r"/>
      <c:layout>
        <c:manualLayout>
          <c:xMode val="edge"/>
          <c:yMode val="edge"/>
          <c:x val="0.19468317592632181"/>
          <c:y val="0.1422516290199782"/>
          <c:w val="0.6470783704503309"/>
          <c:h val="0.1252635426661706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[real_world_sales_messy_100_rows.xlsx]Sheet3!PivotTable9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Sheet3!$H$13</c:f>
              <c:strCache>
                <c:ptCount val="1"/>
                <c:pt idx="0">
                  <c:v>Total</c:v>
                </c:pt>
              </c:strCache>
            </c:strRef>
          </c:tx>
          <c:spPr>
            <a:solidFill>
              <a:schemeClr val="accent2">
                <a:lumMod val="75000"/>
              </a:schemeClr>
            </a:solidFill>
            <a:ln>
              <a:noFill/>
            </a:ln>
            <a:effectLst/>
          </c:spPr>
          <c:invertIfNegative val="0"/>
          <c:cat>
            <c:strRef>
              <c:f>Sheet3!$G$14:$G$19</c:f>
              <c:strCache>
                <c:ptCount val="5"/>
                <c:pt idx="0">
                  <c:v>Islamabad</c:v>
                </c:pt>
                <c:pt idx="1">
                  <c:v>Karachi</c:v>
                </c:pt>
                <c:pt idx="2">
                  <c:v>Karachi </c:v>
                </c:pt>
                <c:pt idx="3">
                  <c:v>Lahore</c:v>
                </c:pt>
                <c:pt idx="4">
                  <c:v>Multan</c:v>
                </c:pt>
              </c:strCache>
            </c:strRef>
          </c:cat>
          <c:val>
            <c:numRef>
              <c:f>Sheet3!$H$14:$H$19</c:f>
              <c:numCache>
                <c:formatCode>General</c:formatCode>
                <c:ptCount val="5"/>
                <c:pt idx="0">
                  <c:v>607500</c:v>
                </c:pt>
                <c:pt idx="1">
                  <c:v>595300</c:v>
                </c:pt>
                <c:pt idx="2">
                  <c:v>29750</c:v>
                </c:pt>
                <c:pt idx="3">
                  <c:v>1501000</c:v>
                </c:pt>
                <c:pt idx="4">
                  <c:v>387350</c:v>
                </c:pt>
              </c:numCache>
            </c:numRef>
          </c:val>
          <c:extLst>
            <c:ext xmlns:c16="http://schemas.microsoft.com/office/drawing/2014/chart" uri="{C3380CC4-5D6E-409C-BE32-E72D297353CC}">
              <c16:uniqueId val="{00000000-AFC2-41CF-9FA7-55DD4E3C4B04}"/>
            </c:ext>
          </c:extLst>
        </c:ser>
        <c:dLbls>
          <c:showLegendKey val="0"/>
          <c:showVal val="0"/>
          <c:showCatName val="0"/>
          <c:showSerName val="0"/>
          <c:showPercent val="0"/>
          <c:showBubbleSize val="0"/>
        </c:dLbls>
        <c:gapWidth val="182"/>
        <c:axId val="1067974400"/>
        <c:axId val="1067974880"/>
      </c:barChart>
      <c:catAx>
        <c:axId val="106797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67974880"/>
        <c:crosses val="autoZero"/>
        <c:auto val="1"/>
        <c:lblAlgn val="ctr"/>
        <c:lblOffset val="100"/>
        <c:noMultiLvlLbl val="0"/>
      </c:catAx>
      <c:valAx>
        <c:axId val="1067974880"/>
        <c:scaling>
          <c:orientation val="minMax"/>
        </c:scaling>
        <c:delete val="0"/>
        <c:axPos val="b"/>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67974400"/>
        <c:crosses val="autoZero"/>
        <c:crossBetween val="between"/>
      </c:valAx>
      <c:spPr>
        <a:solidFill>
          <a:schemeClr val="accent2">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[real_world_sales_messy_100_rows.xlsx]Sheet3!PivotTable13</c:name>
    <c:fmtId val="3"/>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Profit by channels</a:t>
            </a:r>
          </a:p>
          <a:p>
            <a:pPr algn="ctr">
              <a:defRPr/>
            </a:pPr>
            <a:endParaRPr lang="en-US">
              <a:solidFill>
                <a:sysClr val="windowText" lastClr="000000"/>
              </a:solidFill>
            </a:endParaRPr>
          </a:p>
        </c:rich>
      </c:tx>
      <c:layout>
        <c:manualLayout>
          <c:xMode val="edge"/>
          <c:yMode val="edge"/>
          <c:x val="3.0458942632170985E-2"/>
          <c:y val="4.060912082452503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pivotFmt>
      <c:pivotFmt>
        <c:idx val="8"/>
      </c:pivotFmt>
    </c:pivotFmts>
    <c:plotArea>
      <c:layout/>
      <c:pieChart>
        <c:varyColors val="1"/>
        <c:ser>
          <c:idx val="0"/>
          <c:order val="0"/>
          <c:tx>
            <c:strRef>
              <c:f>Sheet3!$K$24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30-4B82-B6FC-D552B8C5D3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30-4B82-B6FC-D552B8C5D3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30-4B82-B6FC-D552B8C5D3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Sheet3!$J$25:$J$26</c:f>
              <c:strCache>
                <c:ptCount val="1"/>
                <c:pt idx="0">
                  <c:v>Corporate</c:v>
                </c:pt>
              </c:strCache>
            </c:strRef>
          </c:cat>
          <c:val>
            <c:numRef>
              <c:f>Sheet3!$K$25:$K$26</c:f>
              <c:numCache>
                <c:formatCode>General</c:formatCode>
                <c:ptCount val="1"/>
                <c:pt idx="0">
                  <c:v>711361</c:v>
                </c:pt>
              </c:numCache>
            </c:numRef>
          </c:val>
          <c:extLst>
            <c:ext xmlns:c16="http://schemas.microsoft.com/office/drawing/2014/chart" uri="{C3380CC4-5D6E-409C-BE32-E72D297353CC}">
              <c16:uniqueId val="{00000006-DB30-4B82-B6FC-D552B8C5D3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0291990404818576E-2"/>
          <c:y val="0.15280599846701545"/>
          <c:w val="0.87667093189883638"/>
          <c:h val="9.483016082660136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product</a:t>
            </a:r>
          </a:p>
        </c:rich>
      </c:tx>
      <c:layout>
        <c:manualLayout>
          <c:xMode val="edge"/>
          <c:yMode val="edge"/>
          <c:x val="0.35567231537609995"/>
          <c:y val="4.9239272623507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Sheet3!$E$12</c:f>
              <c:strCache>
                <c:ptCount val="1"/>
                <c:pt idx="0">
                  <c:v>Total</c:v>
                </c:pt>
              </c:strCache>
            </c:strRef>
          </c:tx>
          <c:spPr>
            <a:solidFill>
              <a:schemeClr val="accent2">
                <a:lumMod val="75000"/>
              </a:schemeClr>
            </a:solidFill>
            <a:ln>
              <a:noFill/>
            </a:ln>
            <a:effectLst/>
            <a:sp3d/>
          </c:spPr>
          <c:invertIfNegative val="0"/>
          <c:cat>
            <c:strRef>
              <c:f>Sheet3!$D$13:$D$18</c:f>
              <c:strCache>
                <c:ptCount val="5"/>
                <c:pt idx="0">
                  <c:v>Headphones</c:v>
                </c:pt>
                <c:pt idx="1">
                  <c:v>Laptop</c:v>
                </c:pt>
                <c:pt idx="2">
                  <c:v>Monitor</c:v>
                </c:pt>
                <c:pt idx="3">
                  <c:v>Phone</c:v>
                </c:pt>
                <c:pt idx="4">
                  <c:v>Tablet</c:v>
                </c:pt>
              </c:strCache>
            </c:strRef>
          </c:cat>
          <c:val>
            <c:numRef>
              <c:f>Sheet3!$E$13:$E$18</c:f>
              <c:numCache>
                <c:formatCode>General</c:formatCode>
                <c:ptCount val="5"/>
                <c:pt idx="0">
                  <c:v>19621</c:v>
                </c:pt>
                <c:pt idx="1">
                  <c:v>321861</c:v>
                </c:pt>
                <c:pt idx="2">
                  <c:v>53439</c:v>
                </c:pt>
                <c:pt idx="3">
                  <c:v>230911</c:v>
                </c:pt>
                <c:pt idx="4">
                  <c:v>85529</c:v>
                </c:pt>
              </c:numCache>
            </c:numRef>
          </c:val>
          <c:extLst>
            <c:ext xmlns:c16="http://schemas.microsoft.com/office/drawing/2014/chart" uri="{C3380CC4-5D6E-409C-BE32-E72D297353CC}">
              <c16:uniqueId val="{00000000-2FB0-4B45-815E-47CF79327A0B}"/>
            </c:ext>
          </c:extLst>
        </c:ser>
        <c:dLbls>
          <c:showLegendKey val="0"/>
          <c:showVal val="0"/>
          <c:showCatName val="0"/>
          <c:showSerName val="0"/>
          <c:showPercent val="0"/>
          <c:showBubbleSize val="0"/>
        </c:dLbls>
        <c:gapWidth val="150"/>
        <c:shape val="box"/>
        <c:axId val="1067976320"/>
        <c:axId val="1067980160"/>
        <c:axId val="0"/>
      </c:bar3DChart>
      <c:catAx>
        <c:axId val="106797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67980160"/>
        <c:crosses val="autoZero"/>
        <c:auto val="1"/>
        <c:lblAlgn val="ctr"/>
        <c:lblOffset val="100"/>
        <c:noMultiLvlLbl val="0"/>
      </c:catAx>
      <c:valAx>
        <c:axId val="1067980160"/>
        <c:scaling>
          <c:orientation val="minMax"/>
        </c:scaling>
        <c:delete val="0"/>
        <c:axPos val="l"/>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6797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[real_world_sales_messy_100_rows.xlsx]Sheet3!PivotTable17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Sheet3!$AC$3</c:f>
              <c:strCache>
                <c:ptCount val="1"/>
                <c:pt idx="0">
                  <c:v>Total</c:v>
                </c:pt>
              </c:strCache>
            </c:strRef>
          </c:tx>
          <c:spPr>
            <a:solidFill>
              <a:schemeClr val="accent2">
                <a:lumMod val="75000"/>
              </a:schemeClr>
            </a:solidFill>
            <a:ln>
              <a:noFill/>
            </a:ln>
            <a:effectLst/>
          </c:spPr>
          <c:invertIfNegative val="0"/>
          <c:dLbls>
            <c:numFmt formatCode="#,&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Sheet3!$AB$4:$AB$13</c:f>
              <c:strCache>
                <c:ptCount val="9"/>
                <c:pt idx="0">
                  <c:v>January</c:v>
                </c:pt>
                <c:pt idx="1">
                  <c:v>February</c:v>
                </c:pt>
                <c:pt idx="2">
                  <c:v>March</c:v>
                </c:pt>
                <c:pt idx="3">
                  <c:v>April</c:v>
                </c:pt>
                <c:pt idx="4">
                  <c:v>May</c:v>
                </c:pt>
                <c:pt idx="5">
                  <c:v>June</c:v>
                </c:pt>
                <c:pt idx="6">
                  <c:v>July</c:v>
                </c:pt>
                <c:pt idx="7">
                  <c:v>August</c:v>
                </c:pt>
                <c:pt idx="8">
                  <c:v>September</c:v>
                </c:pt>
              </c:strCache>
            </c:strRef>
          </c:cat>
          <c:val>
            <c:numRef>
              <c:f>Sheet3!$AC$4:$AC$13</c:f>
              <c:numCache>
                <c:formatCode>General</c:formatCode>
                <c:ptCount val="9"/>
                <c:pt idx="0">
                  <c:v>363500</c:v>
                </c:pt>
                <c:pt idx="1">
                  <c:v>135250</c:v>
                </c:pt>
                <c:pt idx="2">
                  <c:v>526000</c:v>
                </c:pt>
                <c:pt idx="3">
                  <c:v>731600</c:v>
                </c:pt>
                <c:pt idx="4">
                  <c:v>178600</c:v>
                </c:pt>
                <c:pt idx="5">
                  <c:v>228000</c:v>
                </c:pt>
                <c:pt idx="6">
                  <c:v>29750</c:v>
                </c:pt>
                <c:pt idx="7">
                  <c:v>454500</c:v>
                </c:pt>
                <c:pt idx="8">
                  <c:v>473700</c:v>
                </c:pt>
              </c:numCache>
            </c:numRef>
          </c:val>
          <c:extLst>
            <c:ext xmlns:c16="http://schemas.microsoft.com/office/drawing/2014/chart" uri="{C3380CC4-5D6E-409C-BE32-E72D297353CC}">
              <c16:uniqueId val="{00000000-67CB-444B-B608-03D3BE94E186}"/>
            </c:ext>
          </c:extLst>
        </c:ser>
        <c:dLbls>
          <c:showLegendKey val="0"/>
          <c:showVal val="0"/>
          <c:showCatName val="0"/>
          <c:showSerName val="0"/>
          <c:showPercent val="0"/>
          <c:showBubbleSize val="0"/>
        </c:dLbls>
        <c:gapWidth val="219"/>
        <c:overlap val="-27"/>
        <c:axId val="738084960"/>
        <c:axId val="738086400"/>
      </c:barChart>
      <c:catAx>
        <c:axId val="7380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38086400"/>
        <c:crosses val="autoZero"/>
        <c:auto val="1"/>
        <c:lblAlgn val="ctr"/>
        <c:lblOffset val="100"/>
        <c:noMultiLvlLbl val="0"/>
      </c:catAx>
      <c:valAx>
        <c:axId val="738086400"/>
        <c:scaling>
          <c:orientation val="minMax"/>
        </c:scaling>
        <c:delete val="0"/>
        <c:axPos val="l"/>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73808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288510</xdr:colOff>
      <xdr:row>20</xdr:row>
      <xdr:rowOff>57149</xdr:rowOff>
    </xdr:from>
    <xdr:to>
      <xdr:col>5</xdr:col>
      <xdr:colOff>608771</xdr:colOff>
      <xdr:row>34</xdr:row>
      <xdr:rowOff>94696</xdr:rowOff>
    </xdr:to>
    <xdr:graphicFrame macro="">
      <xdr:nvGraphicFramePr>
        <xdr:cNvPr id="2" name="Chart 1">
          <a:extLst>
            <a:ext uri="{FF2B5EF4-FFF2-40B4-BE49-F238E27FC236}">
              <a16:creationId xmlns:a16="http://schemas.microsoft.com/office/drawing/2014/main" id="{EEDC2CBC-5642-0FCD-C5E7-D9FE9875A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295413</xdr:colOff>
      <xdr:row>40</xdr:row>
      <xdr:rowOff>167585</xdr:rowOff>
    </xdr:from>
    <xdr:to>
      <xdr:col>5</xdr:col>
      <xdr:colOff>581163</xdr:colOff>
      <xdr:row>55</xdr:row>
      <xdr:rowOff>18774</xdr:rowOff>
    </xdr:to>
    <xdr:graphicFrame macro="">
      <xdr:nvGraphicFramePr>
        <xdr:cNvPr id="3" name="Chart 2">
          <a:extLst>
            <a:ext uri="{FF2B5EF4-FFF2-40B4-BE49-F238E27FC236}">
              <a16:creationId xmlns:a16="http://schemas.microsoft.com/office/drawing/2014/main" id="{EB946B10-334D-1B3A-268F-2F700B1AD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23185</xdr:colOff>
      <xdr:row>40</xdr:row>
      <xdr:rowOff>109077</xdr:rowOff>
    </xdr:from>
    <xdr:to>
      <xdr:col>11</xdr:col>
      <xdr:colOff>603439</xdr:colOff>
      <xdr:row>55</xdr:row>
      <xdr:rowOff>53695</xdr:rowOff>
    </xdr:to>
    <xdr:graphicFrame macro="">
      <xdr:nvGraphicFramePr>
        <xdr:cNvPr id="4" name="Chart 3">
          <a:extLst>
            <a:ext uri="{FF2B5EF4-FFF2-40B4-BE49-F238E27FC236}">
              <a16:creationId xmlns:a16="http://schemas.microsoft.com/office/drawing/2014/main" id="{8C0D7C45-D141-311E-8526-29F834D02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256690</xdr:colOff>
      <xdr:row>40</xdr:row>
      <xdr:rowOff>178230</xdr:rowOff>
    </xdr:from>
    <xdr:to>
      <xdr:col>17</xdr:col>
      <xdr:colOff>615089</xdr:colOff>
      <xdr:row>55</xdr:row>
      <xdr:rowOff>15498</xdr:rowOff>
    </xdr:to>
    <xdr:graphicFrame macro="">
      <xdr:nvGraphicFramePr>
        <xdr:cNvPr id="5" name="Chart 4">
          <a:extLst>
            <a:ext uri="{FF2B5EF4-FFF2-40B4-BE49-F238E27FC236}">
              <a16:creationId xmlns:a16="http://schemas.microsoft.com/office/drawing/2014/main" id="{52D0DCC9-05CF-0E42-E270-A6391458F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482707</xdr:colOff>
      <xdr:row>30</xdr:row>
      <xdr:rowOff>32934</xdr:rowOff>
    </xdr:from>
    <xdr:to>
      <xdr:col>18</xdr:col>
      <xdr:colOff>82334</xdr:colOff>
      <xdr:row>44</xdr:row>
      <xdr:rowOff>63930</xdr:rowOff>
    </xdr:to>
    <xdr:graphicFrame macro="">
      <xdr:nvGraphicFramePr>
        <xdr:cNvPr id="6" name="Chart 5">
          <a:extLst>
            <a:ext uri="{FF2B5EF4-FFF2-40B4-BE49-F238E27FC236}">
              <a16:creationId xmlns:a16="http://schemas.microsoft.com/office/drawing/2014/main" id="{1418D4B6-B558-D5E7-6953-3DD3A50DB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200187</xdr:colOff>
      <xdr:row>17</xdr:row>
      <xdr:rowOff>145942</xdr:rowOff>
    </xdr:from>
    <xdr:to>
      <xdr:col>29</xdr:col>
      <xdr:colOff>348713</xdr:colOff>
      <xdr:row>31</xdr:row>
      <xdr:rowOff>176939</xdr:rowOff>
    </xdr:to>
    <xdr:graphicFrame macro="">
      <xdr:nvGraphicFramePr>
        <xdr:cNvPr id="7" name="Chart 6">
          <a:extLst>
            <a:ext uri="{FF2B5EF4-FFF2-40B4-BE49-F238E27FC236}">
              <a16:creationId xmlns:a16="http://schemas.microsoft.com/office/drawing/2014/main" id="{6AEC126A-18C1-C177-A938-8ACE83835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971209</xdr:colOff>
      <xdr:row>58</xdr:row>
      <xdr:rowOff>116680</xdr:rowOff>
    </xdr:from>
    <xdr:to>
      <xdr:col>16</xdr:col>
      <xdr:colOff>338477</xdr:colOff>
      <xdr:row>73</xdr:row>
      <xdr:rowOff>53406</xdr:rowOff>
    </xdr:to>
    <xdr:graphicFrame macro="">
      <xdr:nvGraphicFramePr>
        <xdr:cNvPr id="8" name="Chart 7">
          <a:extLst>
            <a:ext uri="{FF2B5EF4-FFF2-40B4-BE49-F238E27FC236}">
              <a16:creationId xmlns:a16="http://schemas.microsoft.com/office/drawing/2014/main" id="{29D26EE9-4F2F-104B-E194-5E3C2F144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169408</xdr:colOff>
      <xdr:row>24</xdr:row>
      <xdr:rowOff>46945</xdr:rowOff>
    </xdr:from>
    <xdr:to>
      <xdr:col>12</xdr:col>
      <xdr:colOff>714172</xdr:colOff>
      <xdr:row>37</xdr:row>
      <xdr:rowOff>138793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D729029-2BDF-1B22-0661-0688393B90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31089" y="4776600"/>
              <a:ext cx="1825712" cy="265374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577623</xdr:colOff>
      <xdr:row>6</xdr:row>
      <xdr:rowOff>166008</xdr:rowOff>
    </xdr:from>
    <xdr:to>
      <xdr:col>17</xdr:col>
      <xdr:colOff>1228912</xdr:colOff>
      <xdr:row>20</xdr:row>
      <xdr:rowOff>70758</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94355937-4168-35AE-7F89-8851C92051A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824692" y="1348422"/>
              <a:ext cx="1800858" cy="26637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985837</xdr:colOff>
      <xdr:row>2</xdr:row>
      <xdr:rowOff>97972</xdr:rowOff>
    </xdr:from>
    <xdr:to>
      <xdr:col>13</xdr:col>
      <xdr:colOff>1103591</xdr:colOff>
      <xdr:row>16</xdr:row>
      <xdr:rowOff>2722</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D155FA4D-5363-BCF0-735A-430E0ADD288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4928466" y="492110"/>
              <a:ext cx="1825685" cy="26637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1530123</xdr:colOff>
      <xdr:row>2</xdr:row>
      <xdr:rowOff>114981</xdr:rowOff>
    </xdr:from>
    <xdr:to>
      <xdr:col>15</xdr:col>
      <xdr:colOff>688902</xdr:colOff>
      <xdr:row>16</xdr:row>
      <xdr:rowOff>19731</xdr:rowOff>
    </xdr:to>
    <mc:AlternateContent xmlns:mc="http://schemas.openxmlformats.org/markup-compatibility/2006">
      <mc:Choice xmlns:a14="http://schemas.microsoft.com/office/drawing/2010/main" Requires="a14">
        <xdr:graphicFrame macro="">
          <xdr:nvGraphicFramePr>
            <xdr:cNvPr id="12" name="Status">
              <a:extLst>
                <a:ext uri="{FF2B5EF4-FFF2-40B4-BE49-F238E27FC236}">
                  <a16:creationId xmlns:a16="http://schemas.microsoft.com/office/drawing/2014/main" id="{0E43D0A3-02FD-B0E4-F0EE-46F04ADBB47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7180683" y="509119"/>
              <a:ext cx="1852055" cy="26637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38100</xdr:rowOff>
    </xdr:from>
    <xdr:to>
      <xdr:col>3</xdr:col>
      <xdr:colOff>561975</xdr:colOff>
      <xdr:row>2</xdr:row>
      <xdr:rowOff>152400</xdr:rowOff>
    </xdr:to>
    <xdr:sp macro="" textlink="">
      <xdr:nvSpPr>
        <xdr:cNvPr id="2" name="Rectangle: Rounded Corners 1">
          <a:extLst>
            <a:ext uri="{FF2B5EF4-FFF2-40B4-BE49-F238E27FC236}">
              <a16:creationId xmlns:a16="http://schemas.microsoft.com/office/drawing/2014/main" id="{AC12856B-FBBB-C196-D7F9-C7D122A47C43}"/>
            </a:ext>
          </a:extLst>
        </xdr:cNvPr>
        <xdr:cNvSpPr/>
      </xdr:nvSpPr>
      <xdr:spPr>
        <a:xfrm>
          <a:off x="123825" y="38100"/>
          <a:ext cx="2259414" cy="49111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1">
              <a:solidFill>
                <a:schemeClr val="bg1"/>
              </a:solidFill>
            </a:rPr>
            <a:t>E-commerce Sales Analysis</a:t>
          </a:r>
          <a:endParaRPr lang="en-PK" sz="1400" b="1" i="1">
            <a:solidFill>
              <a:schemeClr val="bg1"/>
            </a:solidFill>
          </a:endParaRPr>
        </a:p>
      </xdr:txBody>
    </xdr:sp>
    <xdr:clientData/>
  </xdr:twoCellAnchor>
  <xdr:twoCellAnchor>
    <xdr:from>
      <xdr:col>0</xdr:col>
      <xdr:colOff>85725</xdr:colOff>
      <xdr:row>3</xdr:row>
      <xdr:rowOff>95250</xdr:rowOff>
    </xdr:from>
    <xdr:to>
      <xdr:col>3</xdr:col>
      <xdr:colOff>476250</xdr:colOff>
      <xdr:row>28</xdr:row>
      <xdr:rowOff>133349</xdr:rowOff>
    </xdr:to>
    <xdr:sp macro="" textlink="">
      <xdr:nvSpPr>
        <xdr:cNvPr id="3" name="Rectangle: Rounded Corners 2">
          <a:extLst>
            <a:ext uri="{FF2B5EF4-FFF2-40B4-BE49-F238E27FC236}">
              <a16:creationId xmlns:a16="http://schemas.microsoft.com/office/drawing/2014/main" id="{782F3973-BC43-95FA-5D37-64546611BDF9}"/>
            </a:ext>
          </a:extLst>
        </xdr:cNvPr>
        <xdr:cNvSpPr/>
      </xdr:nvSpPr>
      <xdr:spPr>
        <a:xfrm>
          <a:off x="85725" y="666750"/>
          <a:ext cx="2219325" cy="480059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247650</xdr:colOff>
      <xdr:row>0</xdr:row>
      <xdr:rowOff>19050</xdr:rowOff>
    </xdr:from>
    <xdr:to>
      <xdr:col>7</xdr:col>
      <xdr:colOff>304800</xdr:colOff>
      <xdr:row>2</xdr:row>
      <xdr:rowOff>161925</xdr:rowOff>
    </xdr:to>
    <xdr:sp macro="" textlink="">
      <xdr:nvSpPr>
        <xdr:cNvPr id="5" name="Rectangle 4">
          <a:extLst>
            <a:ext uri="{FF2B5EF4-FFF2-40B4-BE49-F238E27FC236}">
              <a16:creationId xmlns:a16="http://schemas.microsoft.com/office/drawing/2014/main" id="{1DA3390C-7088-C448-2BFC-773044990DE3}"/>
            </a:ext>
          </a:extLst>
        </xdr:cNvPr>
        <xdr:cNvSpPr/>
      </xdr:nvSpPr>
      <xdr:spPr>
        <a:xfrm>
          <a:off x="3295650" y="19050"/>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accent2">
                <a:lumMod val="40000"/>
                <a:lumOff val="60000"/>
              </a:schemeClr>
            </a:solidFill>
          </a:endParaRPr>
        </a:p>
      </xdr:txBody>
    </xdr:sp>
    <xdr:clientData/>
  </xdr:twoCellAnchor>
  <xdr:twoCellAnchor>
    <xdr:from>
      <xdr:col>7</xdr:col>
      <xdr:colOff>409575</xdr:colOff>
      <xdr:row>0</xdr:row>
      <xdr:rowOff>28575</xdr:rowOff>
    </xdr:from>
    <xdr:to>
      <xdr:col>9</xdr:col>
      <xdr:colOff>466725</xdr:colOff>
      <xdr:row>2</xdr:row>
      <xdr:rowOff>171450</xdr:rowOff>
    </xdr:to>
    <xdr:sp macro="" textlink="">
      <xdr:nvSpPr>
        <xdr:cNvPr id="6" name="Rectangle 5">
          <a:extLst>
            <a:ext uri="{FF2B5EF4-FFF2-40B4-BE49-F238E27FC236}">
              <a16:creationId xmlns:a16="http://schemas.microsoft.com/office/drawing/2014/main" id="{98343B38-DCC1-4E19-BF28-921775CF316C}"/>
            </a:ext>
          </a:extLst>
        </xdr:cNvPr>
        <xdr:cNvSpPr/>
      </xdr:nvSpPr>
      <xdr:spPr>
        <a:xfrm>
          <a:off x="4676775" y="28575"/>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552450</xdr:colOff>
      <xdr:row>0</xdr:row>
      <xdr:rowOff>28575</xdr:rowOff>
    </xdr:from>
    <xdr:to>
      <xdr:col>12</xdr:col>
      <xdr:colOff>0</xdr:colOff>
      <xdr:row>2</xdr:row>
      <xdr:rowOff>171450</xdr:rowOff>
    </xdr:to>
    <xdr:sp macro="" textlink="">
      <xdr:nvSpPr>
        <xdr:cNvPr id="7" name="Rectangle 6">
          <a:extLst>
            <a:ext uri="{FF2B5EF4-FFF2-40B4-BE49-F238E27FC236}">
              <a16:creationId xmlns:a16="http://schemas.microsoft.com/office/drawing/2014/main" id="{F9049BAB-0997-4750-B97D-BFEFACAD409F}"/>
            </a:ext>
          </a:extLst>
        </xdr:cNvPr>
        <xdr:cNvSpPr/>
      </xdr:nvSpPr>
      <xdr:spPr>
        <a:xfrm>
          <a:off x="6038850" y="28575"/>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95250</xdr:colOff>
      <xdr:row>0</xdr:row>
      <xdr:rowOff>28575</xdr:rowOff>
    </xdr:from>
    <xdr:to>
      <xdr:col>14</xdr:col>
      <xdr:colOff>152400</xdr:colOff>
      <xdr:row>2</xdr:row>
      <xdr:rowOff>171450</xdr:rowOff>
    </xdr:to>
    <xdr:sp macro="" textlink="">
      <xdr:nvSpPr>
        <xdr:cNvPr id="8" name="Rectangle 7">
          <a:extLst>
            <a:ext uri="{FF2B5EF4-FFF2-40B4-BE49-F238E27FC236}">
              <a16:creationId xmlns:a16="http://schemas.microsoft.com/office/drawing/2014/main" id="{9796E578-3956-4052-8CFF-0043DCCDC8D4}"/>
            </a:ext>
          </a:extLst>
        </xdr:cNvPr>
        <xdr:cNvSpPr/>
      </xdr:nvSpPr>
      <xdr:spPr>
        <a:xfrm>
          <a:off x="7410450" y="28575"/>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14</xdr:col>
      <xdr:colOff>266700</xdr:colOff>
      <xdr:row>0</xdr:row>
      <xdr:rowOff>38100</xdr:rowOff>
    </xdr:from>
    <xdr:to>
      <xdr:col>16</xdr:col>
      <xdr:colOff>323850</xdr:colOff>
      <xdr:row>2</xdr:row>
      <xdr:rowOff>180975</xdr:rowOff>
    </xdr:to>
    <xdr:sp macro="" textlink="">
      <xdr:nvSpPr>
        <xdr:cNvPr id="9" name="Rectangle 8">
          <a:extLst>
            <a:ext uri="{FF2B5EF4-FFF2-40B4-BE49-F238E27FC236}">
              <a16:creationId xmlns:a16="http://schemas.microsoft.com/office/drawing/2014/main" id="{23FAF275-033C-484B-A021-895AAC1D3B45}"/>
            </a:ext>
          </a:extLst>
        </xdr:cNvPr>
        <xdr:cNvSpPr/>
      </xdr:nvSpPr>
      <xdr:spPr>
        <a:xfrm>
          <a:off x="8801100" y="38100"/>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16</xdr:col>
      <xdr:colOff>390525</xdr:colOff>
      <xdr:row>0</xdr:row>
      <xdr:rowOff>38100</xdr:rowOff>
    </xdr:from>
    <xdr:to>
      <xdr:col>18</xdr:col>
      <xdr:colOff>447675</xdr:colOff>
      <xdr:row>2</xdr:row>
      <xdr:rowOff>180975</xdr:rowOff>
    </xdr:to>
    <xdr:sp macro="" textlink="">
      <xdr:nvSpPr>
        <xdr:cNvPr id="10" name="Rectangle 9">
          <a:extLst>
            <a:ext uri="{FF2B5EF4-FFF2-40B4-BE49-F238E27FC236}">
              <a16:creationId xmlns:a16="http://schemas.microsoft.com/office/drawing/2014/main" id="{D32A2A8C-CD6E-4F73-B305-9494BA54AB12}"/>
            </a:ext>
          </a:extLst>
        </xdr:cNvPr>
        <xdr:cNvSpPr/>
      </xdr:nvSpPr>
      <xdr:spPr>
        <a:xfrm>
          <a:off x="10144125" y="38100"/>
          <a:ext cx="1276350" cy="523875"/>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342900</xdr:colOff>
      <xdr:row>0</xdr:row>
      <xdr:rowOff>57152</xdr:rowOff>
    </xdr:from>
    <xdr:to>
      <xdr:col>7</xdr:col>
      <xdr:colOff>219075</xdr:colOff>
      <xdr:row>1</xdr:row>
      <xdr:rowOff>41615</xdr:rowOff>
    </xdr:to>
    <xdr:sp macro="" textlink="">
      <xdr:nvSpPr>
        <xdr:cNvPr id="12" name="TextBox 11">
          <a:extLst>
            <a:ext uri="{FF2B5EF4-FFF2-40B4-BE49-F238E27FC236}">
              <a16:creationId xmlns:a16="http://schemas.microsoft.com/office/drawing/2014/main" id="{EA831676-9FA9-4D98-C6F4-CF3ACA55C0F4}"/>
            </a:ext>
          </a:extLst>
        </xdr:cNvPr>
        <xdr:cNvSpPr txBox="1"/>
      </xdr:nvSpPr>
      <xdr:spPr>
        <a:xfrm>
          <a:off x="3394599" y="57152"/>
          <a:ext cx="1096855" cy="174038"/>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bg1"/>
              </a:solidFill>
            </a:rPr>
            <a:t>Total-Orders</a:t>
          </a:r>
          <a:endParaRPr lang="en-PK" sz="800" b="1">
            <a:solidFill>
              <a:schemeClr val="bg1"/>
            </a:solidFill>
          </a:endParaRPr>
        </a:p>
      </xdr:txBody>
    </xdr:sp>
    <xdr:clientData/>
  </xdr:twoCellAnchor>
  <xdr:twoCellAnchor>
    <xdr:from>
      <xdr:col>5</xdr:col>
      <xdr:colOff>568726</xdr:colOff>
      <xdr:row>1</xdr:row>
      <xdr:rowOff>60109</xdr:rowOff>
    </xdr:from>
    <xdr:to>
      <xdr:col>7</xdr:col>
      <xdr:colOff>36990</xdr:colOff>
      <xdr:row>2</xdr:row>
      <xdr:rowOff>115595</xdr:rowOff>
    </xdr:to>
    <xdr:sp macro="" textlink="Sheet3!$A$4">
      <xdr:nvSpPr>
        <xdr:cNvPr id="14" name="TextBox 13">
          <a:extLst>
            <a:ext uri="{FF2B5EF4-FFF2-40B4-BE49-F238E27FC236}">
              <a16:creationId xmlns:a16="http://schemas.microsoft.com/office/drawing/2014/main" id="{1CAAF0AC-4F6B-30A9-68DE-AD8EE308D489}"/>
            </a:ext>
          </a:extLst>
        </xdr:cNvPr>
        <xdr:cNvSpPr txBox="1"/>
      </xdr:nvSpPr>
      <xdr:spPr>
        <a:xfrm>
          <a:off x="3620425" y="249684"/>
          <a:ext cx="688944" cy="2450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AF7752-9A15-4A27-84FF-08EA417849DF}" type="TxLink">
            <a:rPr lang="en-US" sz="1100" b="1" i="0" u="none" strike="noStrike">
              <a:solidFill>
                <a:srgbClr val="000000"/>
              </a:solidFill>
              <a:latin typeface="Calibri"/>
              <a:ea typeface="Calibri"/>
              <a:cs typeface="Calibri"/>
            </a:rPr>
            <a:t>26</a:t>
          </a:fld>
          <a:endParaRPr lang="en-PK" sz="1400" b="1"/>
        </a:p>
      </xdr:txBody>
    </xdr:sp>
    <xdr:clientData/>
  </xdr:twoCellAnchor>
  <xdr:twoCellAnchor>
    <xdr:from>
      <xdr:col>7</xdr:col>
      <xdr:colOff>485497</xdr:colOff>
      <xdr:row>0</xdr:row>
      <xdr:rowOff>78604</xdr:rowOff>
    </xdr:from>
    <xdr:to>
      <xdr:col>9</xdr:col>
      <xdr:colOff>365279</xdr:colOff>
      <xdr:row>1</xdr:row>
      <xdr:rowOff>50862</xdr:rowOff>
    </xdr:to>
    <xdr:sp macro="" textlink="">
      <xdr:nvSpPr>
        <xdr:cNvPr id="15" name="TextBox 14">
          <a:extLst>
            <a:ext uri="{FF2B5EF4-FFF2-40B4-BE49-F238E27FC236}">
              <a16:creationId xmlns:a16="http://schemas.microsoft.com/office/drawing/2014/main" id="{56EFBDFA-23A8-5E9D-DB08-477693F5C009}"/>
            </a:ext>
          </a:extLst>
        </xdr:cNvPr>
        <xdr:cNvSpPr txBox="1"/>
      </xdr:nvSpPr>
      <xdr:spPr>
        <a:xfrm>
          <a:off x="4757876" y="78604"/>
          <a:ext cx="1100461" cy="161833"/>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Total Customers</a:t>
          </a:r>
          <a:endParaRPr lang="en-PK" sz="800" b="1">
            <a:solidFill>
              <a:schemeClr val="bg1"/>
            </a:solidFill>
          </a:endParaRPr>
        </a:p>
      </xdr:txBody>
    </xdr:sp>
    <xdr:clientData/>
  </xdr:twoCellAnchor>
  <xdr:twoCellAnchor>
    <xdr:from>
      <xdr:col>8</xdr:col>
      <xdr:colOff>73981</xdr:colOff>
      <xdr:row>1</xdr:row>
      <xdr:rowOff>64733</xdr:rowOff>
    </xdr:from>
    <xdr:to>
      <xdr:col>9</xdr:col>
      <xdr:colOff>171080</xdr:colOff>
      <xdr:row>2</xdr:row>
      <xdr:rowOff>138714</xdr:rowOff>
    </xdr:to>
    <xdr:sp macro="" textlink="Sheet3!$A$6">
      <xdr:nvSpPr>
        <xdr:cNvPr id="16" name="TextBox 15">
          <a:extLst>
            <a:ext uri="{FF2B5EF4-FFF2-40B4-BE49-F238E27FC236}">
              <a16:creationId xmlns:a16="http://schemas.microsoft.com/office/drawing/2014/main" id="{43464464-879E-E6EE-FF75-6491DFA01F52}"/>
            </a:ext>
          </a:extLst>
        </xdr:cNvPr>
        <xdr:cNvSpPr txBox="1"/>
      </xdr:nvSpPr>
      <xdr:spPr>
        <a:xfrm>
          <a:off x="4956699" y="254308"/>
          <a:ext cx="707439" cy="263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9749FB-48C6-4041-892B-61A4B81D4F18}" type="TxLink">
            <a:rPr lang="en-US" sz="1100" b="1" i="0" u="none" strike="noStrike">
              <a:solidFill>
                <a:schemeClr val="tx1"/>
              </a:solidFill>
              <a:latin typeface="Calibri"/>
              <a:ea typeface="Calibri"/>
              <a:cs typeface="Calibri"/>
            </a:rPr>
            <a:pPr algn="ctr"/>
            <a:t>100</a:t>
          </a:fld>
          <a:endParaRPr lang="en-PK" sz="1100" b="1">
            <a:solidFill>
              <a:schemeClr val="tx1"/>
            </a:solidFill>
          </a:endParaRPr>
        </a:p>
      </xdr:txBody>
    </xdr:sp>
    <xdr:clientData/>
  </xdr:twoCellAnchor>
  <xdr:twoCellAnchor>
    <xdr:from>
      <xdr:col>9</xdr:col>
      <xdr:colOff>596703</xdr:colOff>
      <xdr:row>0</xdr:row>
      <xdr:rowOff>59301</xdr:rowOff>
    </xdr:from>
    <xdr:to>
      <xdr:col>11</xdr:col>
      <xdr:colOff>527113</xdr:colOff>
      <xdr:row>1</xdr:row>
      <xdr:rowOff>63005</xdr:rowOff>
    </xdr:to>
    <xdr:sp macro="" textlink="">
      <xdr:nvSpPr>
        <xdr:cNvPr id="17" name="TextBox 16">
          <a:extLst>
            <a:ext uri="{FF2B5EF4-FFF2-40B4-BE49-F238E27FC236}">
              <a16:creationId xmlns:a16="http://schemas.microsoft.com/office/drawing/2014/main" id="{163208E4-84F6-467A-A9A5-CC3860B63F40}"/>
            </a:ext>
          </a:extLst>
        </xdr:cNvPr>
        <xdr:cNvSpPr txBox="1"/>
      </xdr:nvSpPr>
      <xdr:spPr>
        <a:xfrm>
          <a:off x="6067092" y="59301"/>
          <a:ext cx="1146052" cy="192722"/>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bg1"/>
              </a:solidFill>
            </a:rPr>
            <a:t>Total Profit</a:t>
          </a:r>
          <a:endParaRPr lang="en-PK" sz="800" b="1">
            <a:solidFill>
              <a:schemeClr val="bg1"/>
            </a:solidFill>
          </a:endParaRPr>
        </a:p>
      </xdr:txBody>
    </xdr:sp>
    <xdr:clientData/>
  </xdr:twoCellAnchor>
  <xdr:twoCellAnchor>
    <xdr:from>
      <xdr:col>10</xdr:col>
      <xdr:colOff>192724</xdr:colOff>
      <xdr:row>1</xdr:row>
      <xdr:rowOff>81536</xdr:rowOff>
    </xdr:from>
    <xdr:to>
      <xdr:col>11</xdr:col>
      <xdr:colOff>463278</xdr:colOff>
      <xdr:row>2</xdr:row>
      <xdr:rowOff>100068</xdr:rowOff>
    </xdr:to>
    <xdr:sp macro="" textlink="Sheet3!$A$8">
      <xdr:nvSpPr>
        <xdr:cNvPr id="18" name="TextBox 17">
          <a:extLst>
            <a:ext uri="{FF2B5EF4-FFF2-40B4-BE49-F238E27FC236}">
              <a16:creationId xmlns:a16="http://schemas.microsoft.com/office/drawing/2014/main" id="{0771B798-8C8A-6F62-EA72-89DC8C342740}"/>
            </a:ext>
          </a:extLst>
        </xdr:cNvPr>
        <xdr:cNvSpPr txBox="1"/>
      </xdr:nvSpPr>
      <xdr:spPr>
        <a:xfrm>
          <a:off x="6270934" y="270554"/>
          <a:ext cx="878375" cy="207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359595-3B2A-49DD-A913-AD10B1851956}" type="TxLink">
            <a:rPr lang="en-US" sz="1100" b="1" i="0" u="none" strike="noStrike">
              <a:solidFill>
                <a:srgbClr val="000000"/>
              </a:solidFill>
              <a:latin typeface="Calibri"/>
              <a:ea typeface="Calibri"/>
              <a:cs typeface="Calibri"/>
            </a:rPr>
            <a:pPr algn="ctr"/>
            <a:t>711361</a:t>
          </a:fld>
          <a:endParaRPr lang="en-PK" sz="1100" b="1"/>
        </a:p>
      </xdr:txBody>
    </xdr:sp>
    <xdr:clientData/>
  </xdr:twoCellAnchor>
  <xdr:twoCellAnchor>
    <xdr:from>
      <xdr:col>12</xdr:col>
      <xdr:colOff>159368</xdr:colOff>
      <xdr:row>0</xdr:row>
      <xdr:rowOff>66712</xdr:rowOff>
    </xdr:from>
    <xdr:to>
      <xdr:col>14</xdr:col>
      <xdr:colOff>100068</xdr:colOff>
      <xdr:row>1</xdr:row>
      <xdr:rowOff>37062</xdr:rowOff>
    </xdr:to>
    <xdr:sp macro="" textlink="">
      <xdr:nvSpPr>
        <xdr:cNvPr id="19" name="TextBox 18">
          <a:extLst>
            <a:ext uri="{FF2B5EF4-FFF2-40B4-BE49-F238E27FC236}">
              <a16:creationId xmlns:a16="http://schemas.microsoft.com/office/drawing/2014/main" id="{693048CD-F180-8EBA-465F-BB59B21F6D2C}"/>
            </a:ext>
          </a:extLst>
        </xdr:cNvPr>
        <xdr:cNvSpPr txBox="1"/>
      </xdr:nvSpPr>
      <xdr:spPr>
        <a:xfrm>
          <a:off x="7453220" y="66712"/>
          <a:ext cx="1156342" cy="159368"/>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Total Sales</a:t>
          </a:r>
          <a:endParaRPr lang="en-PK" sz="800" b="1">
            <a:solidFill>
              <a:schemeClr val="bg1"/>
            </a:solidFill>
          </a:endParaRPr>
        </a:p>
      </xdr:txBody>
    </xdr:sp>
    <xdr:clientData/>
  </xdr:twoCellAnchor>
  <xdr:twoCellAnchor>
    <xdr:from>
      <xdr:col>12</xdr:col>
      <xdr:colOff>345880</xdr:colOff>
      <xdr:row>1</xdr:row>
      <xdr:rowOff>53213</xdr:rowOff>
    </xdr:from>
    <xdr:to>
      <xdr:col>13</xdr:col>
      <xdr:colOff>606621</xdr:colOff>
      <xdr:row>2</xdr:row>
      <xdr:rowOff>85140</xdr:rowOff>
    </xdr:to>
    <xdr:sp macro="" textlink="Sheet3!$A$10">
      <xdr:nvSpPr>
        <xdr:cNvPr id="20" name="TextBox 19">
          <a:extLst>
            <a:ext uri="{FF2B5EF4-FFF2-40B4-BE49-F238E27FC236}">
              <a16:creationId xmlns:a16="http://schemas.microsoft.com/office/drawing/2014/main" id="{06174E4D-11C9-3E9C-10C9-AF4B0A4494EC}"/>
            </a:ext>
          </a:extLst>
        </xdr:cNvPr>
        <xdr:cNvSpPr txBox="1"/>
      </xdr:nvSpPr>
      <xdr:spPr>
        <a:xfrm>
          <a:off x="7689176" y="244777"/>
          <a:ext cx="872682" cy="2234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C22636-439A-499C-82FE-8042EDFCC311}" type="TxLink">
            <a:rPr lang="en-US" sz="1100" b="1" i="0" u="none" strike="noStrike">
              <a:solidFill>
                <a:schemeClr val="tx1"/>
              </a:solidFill>
              <a:latin typeface="Calibri"/>
              <a:ea typeface="Calibri"/>
              <a:cs typeface="Calibri"/>
            </a:rPr>
            <a:pPr algn="ctr"/>
            <a:t>3120900</a:t>
          </a:fld>
          <a:endParaRPr lang="en-PK" sz="1100" b="1">
            <a:solidFill>
              <a:schemeClr val="tx1"/>
            </a:solidFill>
          </a:endParaRPr>
        </a:p>
      </xdr:txBody>
    </xdr:sp>
    <xdr:clientData/>
  </xdr:twoCellAnchor>
  <xdr:twoCellAnchor>
    <xdr:from>
      <xdr:col>14</xdr:col>
      <xdr:colOff>393771</xdr:colOff>
      <xdr:row>0</xdr:row>
      <xdr:rowOff>85140</xdr:rowOff>
    </xdr:from>
    <xdr:to>
      <xdr:col>16</xdr:col>
      <xdr:colOff>250098</xdr:colOff>
      <xdr:row>1</xdr:row>
      <xdr:rowOff>37249</xdr:rowOff>
    </xdr:to>
    <xdr:sp macro="" textlink="">
      <xdr:nvSpPr>
        <xdr:cNvPr id="21" name="TextBox 20">
          <a:extLst>
            <a:ext uri="{FF2B5EF4-FFF2-40B4-BE49-F238E27FC236}">
              <a16:creationId xmlns:a16="http://schemas.microsoft.com/office/drawing/2014/main" id="{81EBA34D-EE58-CCAA-1DEC-BA3607AEF670}"/>
            </a:ext>
          </a:extLst>
        </xdr:cNvPr>
        <xdr:cNvSpPr txBox="1"/>
      </xdr:nvSpPr>
      <xdr:spPr>
        <a:xfrm>
          <a:off x="8960950" y="85140"/>
          <a:ext cx="1080209" cy="143673"/>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AOV</a:t>
          </a:r>
          <a:endParaRPr lang="en-PK" sz="800" b="1">
            <a:solidFill>
              <a:schemeClr val="bg1"/>
            </a:solidFill>
          </a:endParaRPr>
        </a:p>
      </xdr:txBody>
    </xdr:sp>
    <xdr:clientData/>
  </xdr:twoCellAnchor>
  <xdr:twoCellAnchor>
    <xdr:from>
      <xdr:col>14</xdr:col>
      <xdr:colOff>462947</xdr:colOff>
      <xdr:row>1</xdr:row>
      <xdr:rowOff>69176</xdr:rowOff>
    </xdr:from>
    <xdr:to>
      <xdr:col>16</xdr:col>
      <xdr:colOff>191565</xdr:colOff>
      <xdr:row>2</xdr:row>
      <xdr:rowOff>85140</xdr:rowOff>
    </xdr:to>
    <xdr:sp macro="" textlink="Sheet3!$A$12">
      <xdr:nvSpPr>
        <xdr:cNvPr id="22" name="TextBox 21">
          <a:extLst>
            <a:ext uri="{FF2B5EF4-FFF2-40B4-BE49-F238E27FC236}">
              <a16:creationId xmlns:a16="http://schemas.microsoft.com/office/drawing/2014/main" id="{BFDEF480-84B2-2EB2-1B9B-16C2775BC819}"/>
            </a:ext>
          </a:extLst>
        </xdr:cNvPr>
        <xdr:cNvSpPr txBox="1"/>
      </xdr:nvSpPr>
      <xdr:spPr>
        <a:xfrm>
          <a:off x="9030126" y="260740"/>
          <a:ext cx="952500" cy="207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A2C70A-C91D-4C3E-9BF9-BD515B1FABA3}" type="TxLink">
            <a:rPr lang="en-US" sz="1100" b="1" i="0" u="none" strike="noStrike">
              <a:solidFill>
                <a:sysClr val="windowText" lastClr="000000"/>
              </a:solidFill>
              <a:latin typeface="Calibri"/>
              <a:ea typeface="Calibri"/>
              <a:cs typeface="Calibri"/>
            </a:rPr>
            <a:pPr algn="ctr"/>
            <a:t>120034.6154</a:t>
          </a:fld>
          <a:endParaRPr lang="en-PK" sz="1100" b="1">
            <a:solidFill>
              <a:sysClr val="windowText" lastClr="000000"/>
            </a:solidFill>
          </a:endParaRPr>
        </a:p>
      </xdr:txBody>
    </xdr:sp>
    <xdr:clientData/>
  </xdr:twoCellAnchor>
  <xdr:twoCellAnchor>
    <xdr:from>
      <xdr:col>16</xdr:col>
      <xdr:colOff>532123</xdr:colOff>
      <xdr:row>0</xdr:row>
      <xdr:rowOff>79818</xdr:rowOff>
    </xdr:from>
    <xdr:to>
      <xdr:col>18</xdr:col>
      <xdr:colOff>393771</xdr:colOff>
      <xdr:row>1</xdr:row>
      <xdr:rowOff>58534</xdr:rowOff>
    </xdr:to>
    <xdr:sp macro="" textlink="">
      <xdr:nvSpPr>
        <xdr:cNvPr id="23" name="TextBox 22">
          <a:extLst>
            <a:ext uri="{FF2B5EF4-FFF2-40B4-BE49-F238E27FC236}">
              <a16:creationId xmlns:a16="http://schemas.microsoft.com/office/drawing/2014/main" id="{6E13AAF0-C86D-29CB-8088-C0E0AC38F122}"/>
            </a:ext>
          </a:extLst>
        </xdr:cNvPr>
        <xdr:cNvSpPr txBox="1"/>
      </xdr:nvSpPr>
      <xdr:spPr>
        <a:xfrm>
          <a:off x="10323184" y="79818"/>
          <a:ext cx="1085531" cy="17028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Profit Margin</a:t>
          </a:r>
          <a:endParaRPr lang="en-PK" sz="800" b="1">
            <a:solidFill>
              <a:schemeClr val="bg1"/>
            </a:solidFill>
          </a:endParaRPr>
        </a:p>
      </xdr:txBody>
    </xdr:sp>
    <xdr:clientData/>
  </xdr:twoCellAnchor>
  <xdr:twoCellAnchor>
    <xdr:from>
      <xdr:col>16</xdr:col>
      <xdr:colOff>601299</xdr:colOff>
      <xdr:row>1</xdr:row>
      <xdr:rowOff>106425</xdr:rowOff>
    </xdr:from>
    <xdr:to>
      <xdr:col>18</xdr:col>
      <xdr:colOff>340559</xdr:colOff>
      <xdr:row>2</xdr:row>
      <xdr:rowOff>127710</xdr:rowOff>
    </xdr:to>
    <xdr:sp macro="" textlink="Sheet3!$A$14">
      <xdr:nvSpPr>
        <xdr:cNvPr id="24" name="TextBox 23">
          <a:extLst>
            <a:ext uri="{FF2B5EF4-FFF2-40B4-BE49-F238E27FC236}">
              <a16:creationId xmlns:a16="http://schemas.microsoft.com/office/drawing/2014/main" id="{805AE619-B951-39E7-7157-AAE0C5593381}"/>
            </a:ext>
          </a:extLst>
        </xdr:cNvPr>
        <xdr:cNvSpPr txBox="1"/>
      </xdr:nvSpPr>
      <xdr:spPr>
        <a:xfrm>
          <a:off x="10392360" y="297989"/>
          <a:ext cx="963143" cy="2128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7E7D37-AEF4-4208-AB88-5C9DF6320EA4}" type="TxLink">
            <a:rPr lang="en-US" sz="1100" b="1" i="0" u="none" strike="noStrike">
              <a:solidFill>
                <a:schemeClr val="tx1"/>
              </a:solidFill>
              <a:latin typeface="Calibri"/>
              <a:ea typeface="Calibri"/>
              <a:cs typeface="Calibri"/>
            </a:rPr>
            <a:pPr algn="ctr"/>
            <a:t>22.79345702</a:t>
          </a:fld>
          <a:endParaRPr lang="en-PK" sz="1100" b="1">
            <a:solidFill>
              <a:schemeClr val="tx1"/>
            </a:solidFill>
          </a:endParaRPr>
        </a:p>
      </xdr:txBody>
    </xdr:sp>
    <xdr:clientData/>
  </xdr:twoCellAnchor>
  <xdr:twoCellAnchor editAs="oneCell">
    <xdr:from>
      <xdr:col>0</xdr:col>
      <xdr:colOff>229083</xdr:colOff>
      <xdr:row>9</xdr:row>
      <xdr:rowOff>108513</xdr:rowOff>
    </xdr:from>
    <xdr:to>
      <xdr:col>3</xdr:col>
      <xdr:colOff>220368</xdr:colOff>
      <xdr:row>14</xdr:row>
      <xdr:rowOff>151957</xdr:rowOff>
    </xdr:to>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a16="http://schemas.microsoft.com/office/drawing/2014/main" id="{CC1FDB8A-A57F-4697-A537-EA383407F2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9083" y="1840331"/>
              <a:ext cx="1809694" cy="100556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204968</xdr:colOff>
      <xdr:row>4</xdr:row>
      <xdr:rowOff>84400</xdr:rowOff>
    </xdr:from>
    <xdr:to>
      <xdr:col>3</xdr:col>
      <xdr:colOff>204969</xdr:colOff>
      <xdr:row>9</xdr:row>
      <xdr:rowOff>48229</xdr:rowOff>
    </xdr:to>
    <mc:AlternateContent xmlns:mc="http://schemas.openxmlformats.org/markup-compatibility/2006">
      <mc:Choice xmlns:a14="http://schemas.microsoft.com/office/drawing/2010/main" Requires="a14">
        <xdr:graphicFrame macro="">
          <xdr:nvGraphicFramePr>
            <xdr:cNvPr id="26" name="Channel 1">
              <a:extLst>
                <a:ext uri="{FF2B5EF4-FFF2-40B4-BE49-F238E27FC236}">
                  <a16:creationId xmlns:a16="http://schemas.microsoft.com/office/drawing/2014/main" id="{69F0FEB8-6AE0-46CB-BB58-282AC1F29B1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04968" y="854097"/>
              <a:ext cx="1818410" cy="9259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241139</xdr:colOff>
      <xdr:row>22</xdr:row>
      <xdr:rowOff>72341</xdr:rowOff>
    </xdr:from>
    <xdr:to>
      <xdr:col>3</xdr:col>
      <xdr:colOff>225224</xdr:colOff>
      <xdr:row>27</xdr:row>
      <xdr:rowOff>48227</xdr:rowOff>
    </xdr:to>
    <mc:AlternateContent xmlns:mc="http://schemas.openxmlformats.org/markup-compatibility/2006">
      <mc:Choice xmlns:a14="http://schemas.microsoft.com/office/drawing/2010/main" Requires="a14">
        <xdr:graphicFrame macro="">
          <xdr:nvGraphicFramePr>
            <xdr:cNvPr id="27" name="Status 1">
              <a:extLst>
                <a:ext uri="{FF2B5EF4-FFF2-40B4-BE49-F238E27FC236}">
                  <a16:creationId xmlns:a16="http://schemas.microsoft.com/office/drawing/2014/main" id="{9EA2E6B7-D3FF-43F4-A10D-23242698219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41139" y="4305674"/>
              <a:ext cx="1802494" cy="93800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229082</xdr:colOff>
      <xdr:row>15</xdr:row>
      <xdr:rowOff>72343</xdr:rowOff>
    </xdr:from>
    <xdr:to>
      <xdr:col>3</xdr:col>
      <xdr:colOff>253197</xdr:colOff>
      <xdr:row>21</xdr:row>
      <xdr:rowOff>108513</xdr:rowOff>
    </xdr:to>
    <mc:AlternateContent xmlns:mc="http://schemas.openxmlformats.org/markup-compatibility/2006">
      <mc:Choice xmlns:a14="http://schemas.microsoft.com/office/drawing/2010/main" Requires="a14">
        <xdr:graphicFrame macro="">
          <xdr:nvGraphicFramePr>
            <xdr:cNvPr id="28" name="Product 1">
              <a:extLst>
                <a:ext uri="{FF2B5EF4-FFF2-40B4-BE49-F238E27FC236}">
                  <a16:creationId xmlns:a16="http://schemas.microsoft.com/office/drawing/2014/main" id="{B2837658-F539-458A-A836-A461B270F1D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9082" y="2958707"/>
              <a:ext cx="1842524" cy="119071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566678</xdr:colOff>
      <xdr:row>3</xdr:row>
      <xdr:rowOff>84399</xdr:rowOff>
    </xdr:from>
    <xdr:to>
      <xdr:col>10</xdr:col>
      <xdr:colOff>303544</xdr:colOff>
      <xdr:row>14</xdr:row>
      <xdr:rowOff>156741</xdr:rowOff>
    </xdr:to>
    <xdr:graphicFrame macro="">
      <xdr:nvGraphicFramePr>
        <xdr:cNvPr id="29" name="STATUS">
          <a:extLst>
            <a:ext uri="{FF2B5EF4-FFF2-40B4-BE49-F238E27FC236}">
              <a16:creationId xmlns:a16="http://schemas.microsoft.com/office/drawing/2014/main" id="{D3482727-454C-46CE-8D86-4DF560D1B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397748</xdr:colOff>
      <xdr:row>3</xdr:row>
      <xdr:rowOff>104671</xdr:rowOff>
    </xdr:from>
    <xdr:to>
      <xdr:col>19</xdr:col>
      <xdr:colOff>523352</xdr:colOff>
      <xdr:row>14</xdr:row>
      <xdr:rowOff>114301</xdr:rowOff>
    </xdr:to>
    <xdr:graphicFrame macro="">
      <xdr:nvGraphicFramePr>
        <xdr:cNvPr id="30" name="REGION">
          <a:extLst>
            <a:ext uri="{FF2B5EF4-FFF2-40B4-BE49-F238E27FC236}">
              <a16:creationId xmlns:a16="http://schemas.microsoft.com/office/drawing/2014/main" id="{A22A0D4E-DFE1-4D0E-BCC3-DFE8906C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15</xdr:row>
      <xdr:rowOff>25399</xdr:rowOff>
    </xdr:from>
    <xdr:to>
      <xdr:col>7</xdr:col>
      <xdr:colOff>481601</xdr:colOff>
      <xdr:row>28</xdr:row>
      <xdr:rowOff>50800</xdr:rowOff>
    </xdr:to>
    <xdr:graphicFrame macro="">
      <xdr:nvGraphicFramePr>
        <xdr:cNvPr id="31" name="CHANNELS">
          <a:extLst>
            <a:ext uri="{FF2B5EF4-FFF2-40B4-BE49-F238E27FC236}">
              <a16:creationId xmlns:a16="http://schemas.microsoft.com/office/drawing/2014/main" id="{B1C681CE-FA91-4107-BC03-EA1702D55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535113</xdr:colOff>
      <xdr:row>15</xdr:row>
      <xdr:rowOff>32107</xdr:rowOff>
    </xdr:from>
    <xdr:to>
      <xdr:col>13</xdr:col>
      <xdr:colOff>545815</xdr:colOff>
      <xdr:row>28</xdr:row>
      <xdr:rowOff>107023</xdr:rowOff>
    </xdr:to>
    <xdr:graphicFrame macro="">
      <xdr:nvGraphicFramePr>
        <xdr:cNvPr id="32" name="PRODUCTS">
          <a:extLst>
            <a:ext uri="{FF2B5EF4-FFF2-40B4-BE49-F238E27FC236}">
              <a16:creationId xmlns:a16="http://schemas.microsoft.com/office/drawing/2014/main" id="{7BDB1783-B7D1-48E2-B406-44CF5D55A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42810</xdr:colOff>
      <xdr:row>15</xdr:row>
      <xdr:rowOff>10702</xdr:rowOff>
    </xdr:from>
    <xdr:to>
      <xdr:col>19</xdr:col>
      <xdr:colOff>492303</xdr:colOff>
      <xdr:row>28</xdr:row>
      <xdr:rowOff>146395</xdr:rowOff>
    </xdr:to>
    <xdr:graphicFrame macro="">
      <xdr:nvGraphicFramePr>
        <xdr:cNvPr id="33" name="MONTH">
          <a:extLst>
            <a:ext uri="{FF2B5EF4-FFF2-40B4-BE49-F238E27FC236}">
              <a16:creationId xmlns:a16="http://schemas.microsoft.com/office/drawing/2014/main" id="{6D4EA14A-5269-47BA-A6F8-A6A4925DD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9.45331261574" createdVersion="8" refreshedVersion="8" minRefreshableVersion="3" recordCount="100" xr:uid="{FF93EF57-0B8C-4559-A49D-7A9BF83EFBD5}">
  <cacheSource type="worksheet">
    <worksheetSource name="data"/>
  </cacheSource>
  <cacheFields count="13">
    <cacheField name="Order_ID" numFmtId="0">
      <sharedItems containsSemiMixedTypes="0" containsString="0" containsNumber="1" containsInteger="1" minValue="1" maxValue="100"/>
    </cacheField>
    <cacheField name="Order_Date" numFmtId="0">
      <sharedItems count="92">
        <s v="September"/>
        <s v="January"/>
        <s v="March"/>
        <s v="July"/>
        <s v="April"/>
        <s v="June"/>
        <s v="February"/>
        <s v="May"/>
        <s v="August"/>
        <s v="2026-09-03" u="1"/>
        <s v="2026-01-18" u="1"/>
        <s v="2026-03-23" u="1"/>
        <s v="2026-07-04" u="1"/>
        <s v="2026-07-03" u="1"/>
        <s v="2026-04-25" u="1"/>
        <s v="2026-06-06" u="1"/>
        <s v="2026-03-18" u="1"/>
        <s v="2026-06-27" u="1"/>
        <s v="2026-06-07" u="1"/>
        <s v="2026-09-09" u="1"/>
        <s v="2026-02-25" u="1"/>
        <s v="2026/03/15" u="1"/>
        <s v="2026-02-22" u="1"/>
        <s v="2026-05-17" u="1"/>
        <s v="2026-05-08" u="1"/>
        <s v="2026-09-25" u="1"/>
        <s v="2026-07-07" u="1"/>
        <s v="2026-04-08" u="1"/>
        <s v="2026-02-23" u="1"/>
        <s v="2026-08-07" u="1"/>
        <s v="2026-04-04" u="1"/>
        <s v="2026-02-02" u="1"/>
        <s v="2026-07-06" u="1"/>
        <s v="2026-09-27" u="1"/>
        <s v="2026-07-02" u="1"/>
        <s v="2026-09-22" u="1"/>
        <s v="2026-01-24" u="1"/>
        <s v="2026-04-19" u="1"/>
        <s v="2026-06-09" u="1"/>
        <s v="2026-02-01" u="1"/>
        <s v="2026-06-03" u="1"/>
        <s v="2026-09-01" u="1"/>
        <s v="2026-03-09" u="1"/>
        <s v="2026-01-03" u="1"/>
        <s v="2026-05-06" u="1"/>
        <s v="2026-06-19" u="1"/>
        <s v="2026-01-12" u="1"/>
        <s v="2026-03-08" u="1"/>
        <s v="2026-07-26" u="1"/>
        <s v="2026-04-07" u="1"/>
        <s v="2026-05-28" u="1"/>
        <s v="2026-01-04" u="1"/>
        <s v="2026-06-14" u="1"/>
        <s v="2026-01-17" u="1"/>
        <s v="2026-02-24" u="1"/>
        <s v="2026-04-14" u="1"/>
        <s v="2026-05-10" u="1"/>
        <s v="2026-04-17" u="1"/>
        <s v="2026-04-22" u="1"/>
        <s v="2026-02-15" u="1"/>
        <s v="2026-01-25" u="1"/>
        <s v="2026-09-14" u="1"/>
        <s v="2026-05-25" u="1"/>
        <s v="2026-06-11" u="1"/>
        <s v="2026-02-14" u="1"/>
        <s v="2026-07-25" u="1"/>
        <s v="2026-07-28" u="1"/>
        <s v="2026-06-22" u="1"/>
        <s v="2026-08-11" u="1"/>
        <s v="2026-09-02" u="1"/>
        <s v="2026-04-27" u="1"/>
        <s v="Unknown" u="1"/>
        <s v="2026-03-10" u="1"/>
        <s v="2026-02-17" u="1"/>
        <s v="2026-08-23" u="1"/>
        <s v="2026-02-09" u="1"/>
        <s v="2026-08-28" u="1"/>
        <s v="2026-05-18" u="1"/>
        <s v="2026-08-21" u="1"/>
        <s v="2026-05-22" u="1"/>
        <s v="2026-09-11" u="1"/>
        <s v="2026-06-04" u="1"/>
        <s v="2026-09-20" u="1"/>
        <s v="2026-09-05" u="1"/>
        <s v="2026-08-04" u="1"/>
        <s v="2026-01-05" u="1"/>
        <s v="2026-05-19" u="1"/>
        <s v="2026-08-03" u="1"/>
        <s v="2026-01-14" u="1"/>
        <s v="2026-03-19" u="1"/>
        <s v="2026-02-28" u="1"/>
        <s v="2026-01-22" u="1"/>
      </sharedItems>
    </cacheField>
    <cacheField name="Customer_ID" numFmtId="0">
      <sharedItems/>
    </cacheField>
    <cacheField name="Region" numFmtId="0">
      <sharedItems count="5">
        <s v="Lahore"/>
        <s v="Multan"/>
        <s v="Islamabad"/>
        <s v="Karachi"/>
        <s v="Karachi "/>
      </sharedItems>
    </cacheField>
    <cacheField name="Product" numFmtId="0">
      <sharedItems count="6">
        <s v="Tablet"/>
        <s v="Laptop"/>
        <s v="Phone"/>
        <s v="Headphones"/>
        <s v="Monitor"/>
        <s v="Laptop "/>
      </sharedItems>
    </cacheField>
    <cacheField name="Channel" numFmtId="0">
      <sharedItems count="3">
        <s v="Online"/>
        <s v="Retail"/>
        <s v="Corporate"/>
      </sharedItems>
    </cacheField>
    <cacheField name="Quantity" numFmtId="0">
      <sharedItems containsSemiMixedTypes="0" containsString="0" containsNumber="1" containsInteger="1" minValue="0" maxValue="4"/>
    </cacheField>
    <cacheField name="Discount" numFmtId="9">
      <sharedItems containsSemiMixedTypes="0" containsString="0" containsNumber="1" minValue="0" maxValue="0.15"/>
    </cacheField>
    <cacheField name="Sales" numFmtId="0">
      <sharedItems containsSemiMixedTypes="0" containsString="0" containsNumber="1" containsInteger="1" minValue="6800" maxValue="480000"/>
    </cacheField>
    <cacheField name="Cost" numFmtId="0">
      <sharedItems containsSemiMixedTypes="0" containsString="0" containsNumber="1" containsInteger="1" minValue="4984" maxValue="416112"/>
    </cacheField>
    <cacheField name="Profit" numFmtId="0">
      <sharedItems containsSemiMixedTypes="0" containsString="0" containsNumber="1" containsInteger="1" minValue="1107" maxValue="132121"/>
    </cacheField>
    <cacheField name="Profit Margin" numFmtId="9">
      <sharedItems containsSemiMixedTypes="0" containsString="0" containsNumber="1" minValue="0.12088888888888889" maxValue="0.37930000000000003"/>
    </cacheField>
    <cacheField name="Status" numFmtId="0">
      <sharedItems count="4">
        <s v="Completed"/>
        <s v="Returned"/>
        <s v="Cancelled"/>
        <s v="Returned "/>
      </sharedItems>
    </cacheField>
  </cacheFields>
  <extLst>
    <ext xmlns:x14="http://schemas.microsoft.com/office/spreadsheetml/2009/9/main" uri="{725AE2AE-9491-48be-B2B4-4EB974FC3084}">
      <x14:pivotCacheDefinition pivotCacheId="1865837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C008"/>
    <x v="0"/>
    <x v="0"/>
    <x v="0"/>
    <n v="1"/>
    <n v="0"/>
    <n v="45000"/>
    <n v="35817"/>
    <n v="9183"/>
    <n v="0.20406666666666667"/>
    <x v="0"/>
  </r>
  <r>
    <n v="2"/>
    <x v="1"/>
    <s v="C038"/>
    <x v="1"/>
    <x v="1"/>
    <x v="0"/>
    <n v="1"/>
    <n v="0"/>
    <n v="120000"/>
    <n v="90167"/>
    <n v="29833"/>
    <n v="0.24860833333333332"/>
    <x v="0"/>
  </r>
  <r>
    <n v="3"/>
    <x v="2"/>
    <s v="C013"/>
    <x v="1"/>
    <x v="2"/>
    <x v="1"/>
    <n v="1"/>
    <n v="0"/>
    <n v="70000"/>
    <n v="57210"/>
    <n v="12790"/>
    <n v="0.18271428571428572"/>
    <x v="1"/>
  </r>
  <r>
    <n v="4"/>
    <x v="3"/>
    <s v="C028"/>
    <x v="2"/>
    <x v="0"/>
    <x v="0"/>
    <n v="4"/>
    <n v="0.05"/>
    <n v="171000"/>
    <n v="110564"/>
    <n v="60436"/>
    <n v="0.35342690058479531"/>
    <x v="0"/>
  </r>
  <r>
    <n v="5"/>
    <x v="3"/>
    <s v="C023"/>
    <x v="2"/>
    <x v="3"/>
    <x v="1"/>
    <n v="3"/>
    <n v="0.1"/>
    <n v="21600"/>
    <n v="16403"/>
    <n v="5197"/>
    <n v="0.24060185185185184"/>
    <x v="0"/>
  </r>
  <r>
    <n v="6"/>
    <x v="4"/>
    <s v="C036"/>
    <x v="2"/>
    <x v="3"/>
    <x v="1"/>
    <n v="1"/>
    <n v="0"/>
    <n v="8000"/>
    <n v="5055"/>
    <n v="2945"/>
    <n v="0.36812499999999998"/>
    <x v="1"/>
  </r>
  <r>
    <n v="7"/>
    <x v="5"/>
    <s v="C019"/>
    <x v="0"/>
    <x v="2"/>
    <x v="0"/>
    <n v="1"/>
    <n v="0.1"/>
    <n v="63000"/>
    <n v="49473"/>
    <n v="13527"/>
    <n v="0.21471428571428572"/>
    <x v="2"/>
  </r>
  <r>
    <n v="8"/>
    <x v="2"/>
    <s v="C024"/>
    <x v="0"/>
    <x v="2"/>
    <x v="2"/>
    <n v="3"/>
    <n v="0"/>
    <n v="210000"/>
    <n v="163459"/>
    <n v="46541"/>
    <n v="0.22162380952380953"/>
    <x v="0"/>
  </r>
  <r>
    <n v="9"/>
    <x v="5"/>
    <s v="C016"/>
    <x v="3"/>
    <x v="4"/>
    <x v="1"/>
    <n v="3"/>
    <n v="0.15"/>
    <n v="89250"/>
    <n v="60431"/>
    <n v="28819"/>
    <n v="0.32290196078431371"/>
    <x v="0"/>
  </r>
  <r>
    <n v="10"/>
    <x v="5"/>
    <s v="C004"/>
    <x v="3"/>
    <x v="1"/>
    <x v="1"/>
    <n v="1"/>
    <n v="0"/>
    <n v="120000"/>
    <n v="80983"/>
    <n v="39017"/>
    <n v="0.32514166666666666"/>
    <x v="2"/>
  </r>
  <r>
    <n v="11"/>
    <x v="0"/>
    <s v="C032"/>
    <x v="1"/>
    <x v="4"/>
    <x v="0"/>
    <n v="1"/>
    <n v="0"/>
    <n v="35000"/>
    <n v="28479"/>
    <n v="6521"/>
    <n v="0.18631428571428571"/>
    <x v="0"/>
  </r>
  <r>
    <n v="12"/>
    <x v="6"/>
    <s v="C038"/>
    <x v="1"/>
    <x v="3"/>
    <x v="1"/>
    <n v="1"/>
    <n v="0"/>
    <n v="8000"/>
    <n v="6020"/>
    <n v="1980"/>
    <n v="0.2475"/>
    <x v="0"/>
  </r>
  <r>
    <n v="13"/>
    <x v="1"/>
    <s v="C004"/>
    <x v="0"/>
    <x v="2"/>
    <x v="2"/>
    <n v="4"/>
    <n v="0.1"/>
    <n v="252000"/>
    <n v="195317"/>
    <n v="56683"/>
    <n v="0.22493253968253968"/>
    <x v="0"/>
  </r>
  <r>
    <n v="14"/>
    <x v="6"/>
    <s v="C039"/>
    <x v="1"/>
    <x v="3"/>
    <x v="1"/>
    <n v="4"/>
    <n v="0"/>
    <n v="32000"/>
    <n v="25500"/>
    <n v="6500"/>
    <n v="0.203125"/>
    <x v="1"/>
  </r>
  <r>
    <n v="15"/>
    <x v="7"/>
    <s v="C035"/>
    <x v="2"/>
    <x v="0"/>
    <x v="0"/>
    <n v="2"/>
    <n v="0"/>
    <n v="90000"/>
    <n v="66417"/>
    <n v="23583"/>
    <n v="0.26203333333333334"/>
    <x v="0"/>
  </r>
  <r>
    <n v="16"/>
    <x v="2"/>
    <s v="C012"/>
    <x v="0"/>
    <x v="0"/>
    <x v="2"/>
    <n v="2"/>
    <n v="0"/>
    <n v="90000"/>
    <n v="59376"/>
    <n v="30624"/>
    <n v="0.34026666666666666"/>
    <x v="1"/>
  </r>
  <r>
    <n v="17"/>
    <x v="7"/>
    <s v="C034"/>
    <x v="0"/>
    <x v="3"/>
    <x v="1"/>
    <n v="1"/>
    <n v="0"/>
    <n v="8000"/>
    <n v="6893"/>
    <n v="1107"/>
    <n v="0.138375"/>
    <x v="2"/>
  </r>
  <r>
    <n v="18"/>
    <x v="0"/>
    <s v="C004"/>
    <x v="3"/>
    <x v="3"/>
    <x v="0"/>
    <n v="3"/>
    <n v="0.1"/>
    <n v="21600"/>
    <n v="17975"/>
    <n v="3625"/>
    <n v="0.16782407407407407"/>
    <x v="0"/>
  </r>
  <r>
    <n v="19"/>
    <x v="3"/>
    <s v="C009"/>
    <x v="4"/>
    <x v="4"/>
    <x v="2"/>
    <n v="1"/>
    <n v="0.15"/>
    <n v="29750"/>
    <n v="25193"/>
    <n v="4557"/>
    <n v="0.1531764705882353"/>
    <x v="0"/>
  </r>
  <r>
    <n v="20"/>
    <x v="4"/>
    <s v="C035"/>
    <x v="3"/>
    <x v="0"/>
    <x v="1"/>
    <n v="2"/>
    <n v="0.15"/>
    <n v="76500"/>
    <n v="56410"/>
    <n v="20090"/>
    <n v="0.26261437908496732"/>
    <x v="0"/>
  </r>
  <r>
    <n v="21"/>
    <x v="6"/>
    <s v="C005"/>
    <x v="2"/>
    <x v="1"/>
    <x v="2"/>
    <n v="1"/>
    <n v="0.15"/>
    <n v="102000"/>
    <n v="69080"/>
    <n v="32920"/>
    <n v="0.32274509803921569"/>
    <x v="1"/>
  </r>
  <r>
    <n v="22"/>
    <x v="8"/>
    <s v="C004"/>
    <x v="3"/>
    <x v="1"/>
    <x v="0"/>
    <n v="1"/>
    <n v="0.15"/>
    <n v="102000"/>
    <n v="69552"/>
    <n v="32448"/>
    <n v="0.31811764705882351"/>
    <x v="0"/>
  </r>
  <r>
    <n v="23"/>
    <x v="4"/>
    <s v="C035"/>
    <x v="3"/>
    <x v="3"/>
    <x v="2"/>
    <n v="1"/>
    <n v="0.1"/>
    <n v="7200"/>
    <n v="5976"/>
    <n v="1224"/>
    <n v="0.17"/>
    <x v="2"/>
  </r>
  <r>
    <n v="24"/>
    <x v="6"/>
    <s v="C007"/>
    <x v="1"/>
    <x v="0"/>
    <x v="1"/>
    <n v="2"/>
    <n v="0"/>
    <n v="90000"/>
    <n v="71557"/>
    <n v="18443"/>
    <n v="0.20492222222222223"/>
    <x v="2"/>
  </r>
  <r>
    <n v="25"/>
    <x v="3"/>
    <s v="C026"/>
    <x v="2"/>
    <x v="1"/>
    <x v="0"/>
    <n v="1"/>
    <n v="0.15"/>
    <n v="102000"/>
    <n v="75137"/>
    <n v="26863"/>
    <n v="0.2633627450980392"/>
    <x v="0"/>
  </r>
  <r>
    <n v="26"/>
    <x v="0"/>
    <s v="C018"/>
    <x v="1"/>
    <x v="2"/>
    <x v="0"/>
    <n v="4"/>
    <n v="0.15"/>
    <n v="238000"/>
    <n v="153619"/>
    <n v="84381"/>
    <n v="0.3545420168067227"/>
    <x v="2"/>
  </r>
  <r>
    <n v="27"/>
    <x v="3"/>
    <s v="C001"/>
    <x v="0"/>
    <x v="2"/>
    <x v="0"/>
    <n v="2"/>
    <n v="0.1"/>
    <n v="126000"/>
    <n v="85122"/>
    <n v="40878"/>
    <n v="0.32442857142857146"/>
    <x v="2"/>
  </r>
  <r>
    <n v="28"/>
    <x v="0"/>
    <s v="C011"/>
    <x v="1"/>
    <x v="1"/>
    <x v="1"/>
    <n v="4"/>
    <n v="0.1"/>
    <n v="432000"/>
    <n v="299879"/>
    <n v="132121"/>
    <n v="0.30583564814814812"/>
    <x v="0"/>
  </r>
  <r>
    <n v="29"/>
    <x v="1"/>
    <s v="C032"/>
    <x v="3"/>
    <x v="2"/>
    <x v="1"/>
    <n v="1"/>
    <n v="0.15"/>
    <n v="59500"/>
    <n v="48272"/>
    <n v="11228"/>
    <n v="0.18870588235294117"/>
    <x v="0"/>
  </r>
  <r>
    <n v="30"/>
    <x v="0"/>
    <s v="C021"/>
    <x v="0"/>
    <x v="1"/>
    <x v="2"/>
    <n v="2"/>
    <n v="0.15"/>
    <n v="204000"/>
    <n v="134830"/>
    <n v="69170"/>
    <n v="0.33906862745098038"/>
    <x v="2"/>
  </r>
  <r>
    <n v="31"/>
    <x v="4"/>
    <s v="C012"/>
    <x v="0"/>
    <x v="3"/>
    <x v="0"/>
    <n v="2"/>
    <n v="0"/>
    <n v="16000"/>
    <n v="13837"/>
    <n v="2163"/>
    <n v="0.13518749999999999"/>
    <x v="0"/>
  </r>
  <r>
    <n v="32"/>
    <x v="5"/>
    <s v="C039"/>
    <x v="0"/>
    <x v="3"/>
    <x v="0"/>
    <n v="3"/>
    <n v="0.15"/>
    <n v="20400"/>
    <n v="15646"/>
    <n v="4754"/>
    <n v="0.2330392156862745"/>
    <x v="2"/>
  </r>
  <r>
    <n v="33"/>
    <x v="6"/>
    <s v="C014"/>
    <x v="2"/>
    <x v="2"/>
    <x v="1"/>
    <n v="1"/>
    <n v="0.05"/>
    <n v="66500"/>
    <n v="49135"/>
    <n v="17365"/>
    <n v="0.26112781954887215"/>
    <x v="2"/>
  </r>
  <r>
    <n v="34"/>
    <x v="5"/>
    <s v="C030"/>
    <x v="0"/>
    <x v="1"/>
    <x v="2"/>
    <n v="2"/>
    <n v="0.05"/>
    <n v="228000"/>
    <n v="149212"/>
    <n v="78788"/>
    <n v="0.3455614035087719"/>
    <x v="0"/>
  </r>
  <r>
    <n v="35"/>
    <x v="0"/>
    <s v="C016"/>
    <x v="2"/>
    <x v="0"/>
    <x v="0"/>
    <n v="4"/>
    <n v="0.15"/>
    <n v="153000"/>
    <n v="122847"/>
    <n v="30153"/>
    <n v="0.19707843137254902"/>
    <x v="2"/>
  </r>
  <r>
    <n v="36"/>
    <x v="2"/>
    <s v="C036"/>
    <x v="2"/>
    <x v="1"/>
    <x v="0"/>
    <n v="1"/>
    <n v="0"/>
    <n v="120000"/>
    <n v="97563"/>
    <n v="22437"/>
    <n v="0.186975"/>
    <x v="0"/>
  </r>
  <r>
    <n v="37"/>
    <x v="1"/>
    <s v="C019"/>
    <x v="3"/>
    <x v="0"/>
    <x v="0"/>
    <n v="2"/>
    <n v="0.1"/>
    <n v="81000"/>
    <n v="55509"/>
    <n v="25491"/>
    <n v="0.31470370370370371"/>
    <x v="0"/>
  </r>
  <r>
    <n v="38"/>
    <x v="7"/>
    <s v="C028"/>
    <x v="2"/>
    <x v="1"/>
    <x v="0"/>
    <n v="4"/>
    <n v="0"/>
    <n v="480000"/>
    <n v="377112"/>
    <n v="102888"/>
    <n v="0.21435000000000001"/>
    <x v="0"/>
  </r>
  <r>
    <n v="39"/>
    <x v="5"/>
    <s v="C029"/>
    <x v="1"/>
    <x v="3"/>
    <x v="0"/>
    <n v="1"/>
    <n v="0"/>
    <n v="8000"/>
    <n v="6095"/>
    <n v="1905"/>
    <n v="0.238125"/>
    <x v="0"/>
  </r>
  <r>
    <n v="40"/>
    <x v="1"/>
    <s v="C036"/>
    <x v="3"/>
    <x v="5"/>
    <x v="0"/>
    <n v="1"/>
    <n v="0.05"/>
    <n v="33250"/>
    <n v="28387"/>
    <n v="4863"/>
    <n v="0.14625563909774436"/>
    <x v="0"/>
  </r>
  <r>
    <n v="41"/>
    <x v="2"/>
    <s v="C014"/>
    <x v="3"/>
    <x v="1"/>
    <x v="1"/>
    <n v="4"/>
    <n v="0.1"/>
    <n v="432000"/>
    <n v="377221"/>
    <n v="54779"/>
    <n v="0.12680324074074073"/>
    <x v="1"/>
  </r>
  <r>
    <n v="42"/>
    <x v="3"/>
    <s v="C011"/>
    <x v="3"/>
    <x v="4"/>
    <x v="0"/>
    <n v="3"/>
    <n v="0.05"/>
    <n v="99750"/>
    <n v="82136"/>
    <n v="17614"/>
    <n v="0.1765814536340852"/>
    <x v="0"/>
  </r>
  <r>
    <n v="43"/>
    <x v="4"/>
    <s v="C016"/>
    <x v="2"/>
    <x v="2"/>
    <x v="2"/>
    <n v="2"/>
    <n v="0"/>
    <n v="140000"/>
    <n v="118053"/>
    <n v="21947"/>
    <n v="0.15676428571428572"/>
    <x v="0"/>
  </r>
  <r>
    <n v="44"/>
    <x v="7"/>
    <s v="C030"/>
    <x v="2"/>
    <x v="0"/>
    <x v="0"/>
    <n v="1"/>
    <n v="0"/>
    <n v="45000"/>
    <n v="32562"/>
    <n v="12438"/>
    <n v="0.27639999999999998"/>
    <x v="0"/>
  </r>
  <r>
    <n v="45"/>
    <x v="1"/>
    <s v="C005"/>
    <x v="2"/>
    <x v="0"/>
    <x v="2"/>
    <n v="2"/>
    <n v="0.15"/>
    <n v="76500"/>
    <n v="54017"/>
    <n v="22483"/>
    <n v="0.2938954248366013"/>
    <x v="0"/>
  </r>
  <r>
    <n v="46"/>
    <x v="5"/>
    <s v="C017"/>
    <x v="3"/>
    <x v="3"/>
    <x v="1"/>
    <n v="1"/>
    <n v="0.15"/>
    <n v="6800"/>
    <n v="4984"/>
    <n v="1816"/>
    <n v="0.26705882352941174"/>
    <x v="0"/>
  </r>
  <r>
    <n v="47"/>
    <x v="1"/>
    <s v="C039"/>
    <x v="0"/>
    <x v="4"/>
    <x v="2"/>
    <n v="1"/>
    <n v="0"/>
    <n v="35000"/>
    <n v="28150"/>
    <n v="6850"/>
    <n v="0.1957142857142857"/>
    <x v="0"/>
  </r>
  <r>
    <n v="48"/>
    <x v="6"/>
    <s v="C035"/>
    <x v="3"/>
    <x v="0"/>
    <x v="1"/>
    <n v="3"/>
    <n v="0.05"/>
    <n v="128250"/>
    <n v="100294"/>
    <n v="27956"/>
    <n v="0.21798050682261208"/>
    <x v="0"/>
  </r>
  <r>
    <n v="49"/>
    <x v="4"/>
    <s v="C020"/>
    <x v="2"/>
    <x v="4"/>
    <x v="1"/>
    <n v="3"/>
    <n v="0.05"/>
    <n v="99750"/>
    <n v="76224"/>
    <n v="23526"/>
    <n v="0.23584962406015036"/>
    <x v="2"/>
  </r>
  <r>
    <n v="50"/>
    <x v="7"/>
    <s v="C025"/>
    <x v="3"/>
    <x v="3"/>
    <x v="2"/>
    <n v="2"/>
    <n v="0.15"/>
    <n v="13600"/>
    <n v="11380"/>
    <n v="2220"/>
    <n v="0.16323529411764706"/>
    <x v="0"/>
  </r>
  <r>
    <n v="51"/>
    <x v="4"/>
    <s v="C014"/>
    <x v="1"/>
    <x v="3"/>
    <x v="2"/>
    <n v="2"/>
    <n v="0.1"/>
    <n v="14400"/>
    <n v="10583"/>
    <n v="3817"/>
    <n v="0.26506944444444447"/>
    <x v="0"/>
  </r>
  <r>
    <n v="52"/>
    <x v="4"/>
    <s v="C031"/>
    <x v="3"/>
    <x v="1"/>
    <x v="1"/>
    <n v="3"/>
    <n v="0.15"/>
    <n v="306000"/>
    <n v="216388"/>
    <n v="89612"/>
    <n v="0.2928496732026144"/>
    <x v="1"/>
  </r>
  <r>
    <n v="53"/>
    <x v="6"/>
    <s v="C020"/>
    <x v="3"/>
    <x v="2"/>
    <x v="0"/>
    <n v="1"/>
    <n v="0"/>
    <n v="70000"/>
    <n v="61308"/>
    <n v="8692"/>
    <n v="0.12417142857142857"/>
    <x v="0"/>
  </r>
  <r>
    <n v="54"/>
    <x v="1"/>
    <s v="C027"/>
    <x v="3"/>
    <x v="4"/>
    <x v="1"/>
    <n v="1"/>
    <n v="0"/>
    <n v="35000"/>
    <n v="27670"/>
    <n v="7330"/>
    <n v="0.20942857142857144"/>
    <x v="2"/>
  </r>
  <r>
    <n v="55"/>
    <x v="6"/>
    <s v="C007"/>
    <x v="1"/>
    <x v="2"/>
    <x v="0"/>
    <n v="2"/>
    <n v="0"/>
    <n v="140000"/>
    <n v="107090"/>
    <n v="32910"/>
    <n v="0.23507142857142857"/>
    <x v="1"/>
  </r>
  <r>
    <n v="56"/>
    <x v="0"/>
    <s v="C009"/>
    <x v="1"/>
    <x v="3"/>
    <x v="2"/>
    <n v="1"/>
    <n v="0.1"/>
    <n v="7200"/>
    <n v="5611"/>
    <n v="1589"/>
    <n v="0.22069444444444444"/>
    <x v="1"/>
  </r>
  <r>
    <n v="57"/>
    <x v="7"/>
    <s v="C036"/>
    <x v="1"/>
    <x v="2"/>
    <x v="2"/>
    <n v="2"/>
    <n v="0.05"/>
    <n v="133000"/>
    <n v="108456"/>
    <n v="24544"/>
    <n v="0.18454135338345865"/>
    <x v="2"/>
  </r>
  <r>
    <n v="58"/>
    <x v="5"/>
    <s v="C034"/>
    <x v="1"/>
    <x v="2"/>
    <x v="1"/>
    <n v="1"/>
    <n v="0.05"/>
    <n v="66500"/>
    <n v="45284"/>
    <n v="21216"/>
    <n v="0.3190375939849624"/>
    <x v="2"/>
  </r>
  <r>
    <n v="59"/>
    <x v="6"/>
    <s v="C035"/>
    <x v="0"/>
    <x v="2"/>
    <x v="0"/>
    <n v="2"/>
    <n v="0"/>
    <n v="140000"/>
    <n v="112514"/>
    <n v="27486"/>
    <n v="0.19632857142857144"/>
    <x v="0"/>
  </r>
  <r>
    <n v="60"/>
    <x v="3"/>
    <s v="C027"/>
    <x v="2"/>
    <x v="3"/>
    <x v="1"/>
    <n v="1"/>
    <n v="0"/>
    <n v="8000"/>
    <n v="6692"/>
    <n v="1308"/>
    <n v="0.16350000000000001"/>
    <x v="2"/>
  </r>
  <r>
    <n v="61"/>
    <x v="3"/>
    <s v="C038"/>
    <x v="0"/>
    <x v="3"/>
    <x v="1"/>
    <n v="1"/>
    <n v="0.05"/>
    <n v="7600"/>
    <n v="5302"/>
    <n v="2298"/>
    <n v="0.30236842105263156"/>
    <x v="2"/>
  </r>
  <r>
    <n v="62"/>
    <x v="5"/>
    <s v="C027"/>
    <x v="3"/>
    <x v="4"/>
    <x v="0"/>
    <n v="2"/>
    <n v="0.1"/>
    <n v="63000"/>
    <n v="39535"/>
    <n v="23465"/>
    <n v="0.37246031746031744"/>
    <x v="0"/>
  </r>
  <r>
    <n v="63"/>
    <x v="1"/>
    <s v="C026"/>
    <x v="3"/>
    <x v="4"/>
    <x v="0"/>
    <n v="2"/>
    <n v="0"/>
    <n v="70000"/>
    <n v="59906"/>
    <n v="10094"/>
    <n v="0.14419999999999999"/>
    <x v="1"/>
  </r>
  <r>
    <n v="64"/>
    <x v="8"/>
    <s v="C028"/>
    <x v="3"/>
    <x v="4"/>
    <x v="0"/>
    <n v="1"/>
    <n v="0.1"/>
    <n v="31500"/>
    <n v="22211"/>
    <n v="9289"/>
    <n v="0.29488888888888887"/>
    <x v="0"/>
  </r>
  <r>
    <n v="65"/>
    <x v="0"/>
    <s v="C022"/>
    <x v="1"/>
    <x v="0"/>
    <x v="1"/>
    <n v="4"/>
    <n v="0"/>
    <n v="180000"/>
    <n v="133610"/>
    <n v="46390"/>
    <n v="0.25772222222222224"/>
    <x v="0"/>
  </r>
  <r>
    <n v="66"/>
    <x v="4"/>
    <s v="C023"/>
    <x v="3"/>
    <x v="1"/>
    <x v="2"/>
    <n v="4"/>
    <n v="0"/>
    <n v="480000"/>
    <n v="416112"/>
    <n v="63888"/>
    <n v="0.1331"/>
    <x v="0"/>
  </r>
  <r>
    <n v="67"/>
    <x v="1"/>
    <s v="C002"/>
    <x v="3"/>
    <x v="2"/>
    <x v="0"/>
    <n v="3"/>
    <n v="0"/>
    <n v="210000"/>
    <n v="160993"/>
    <n v="49007"/>
    <n v="0.23336666666666667"/>
    <x v="2"/>
  </r>
  <r>
    <n v="68"/>
    <x v="2"/>
    <s v="C017"/>
    <x v="2"/>
    <x v="2"/>
    <x v="2"/>
    <n v="3"/>
    <n v="0"/>
    <n v="210000"/>
    <n v="172667"/>
    <n v="37333"/>
    <n v="0.17777619047619048"/>
    <x v="1"/>
  </r>
  <r>
    <n v="69"/>
    <x v="4"/>
    <s v="C007"/>
    <x v="0"/>
    <x v="0"/>
    <x v="2"/>
    <n v="2"/>
    <n v="0"/>
    <n v="90000"/>
    <n v="57578"/>
    <n v="32422"/>
    <n v="0.36024444444444442"/>
    <x v="2"/>
  </r>
  <r>
    <n v="70"/>
    <x v="6"/>
    <s v="C020"/>
    <x v="0"/>
    <x v="3"/>
    <x v="0"/>
    <n v="2"/>
    <n v="0.1"/>
    <n v="14400"/>
    <n v="11405"/>
    <n v="2995"/>
    <n v="0.20798611111111112"/>
    <x v="0"/>
  </r>
  <r>
    <n v="71"/>
    <x v="8"/>
    <s v="C022"/>
    <x v="0"/>
    <x v="4"/>
    <x v="1"/>
    <n v="2"/>
    <n v="0.05"/>
    <n v="66500"/>
    <n v="52219"/>
    <n v="14281"/>
    <n v="0.21475187969924811"/>
    <x v="0"/>
  </r>
  <r>
    <n v="72"/>
    <x v="0"/>
    <s v="Unknown"/>
    <x v="1"/>
    <x v="2"/>
    <x v="2"/>
    <n v="3"/>
    <n v="0.05"/>
    <n v="199500"/>
    <n v="155637"/>
    <n v="43863"/>
    <n v="0.21986466165413535"/>
    <x v="1"/>
  </r>
  <r>
    <n v="73"/>
    <x v="6"/>
    <s v="C031"/>
    <x v="1"/>
    <x v="4"/>
    <x v="2"/>
    <n v="1"/>
    <n v="0.05"/>
    <n v="33250"/>
    <n v="27978"/>
    <n v="5272"/>
    <n v="0.15855639097744362"/>
    <x v="1"/>
  </r>
  <r>
    <n v="74"/>
    <x v="8"/>
    <s v="C029"/>
    <x v="3"/>
    <x v="4"/>
    <x v="2"/>
    <n v="3"/>
    <n v="0.1"/>
    <n v="94500"/>
    <n v="66855"/>
    <n v="27645"/>
    <n v="0.29253968253968254"/>
    <x v="1"/>
  </r>
  <r>
    <n v="75"/>
    <x v="7"/>
    <s v="C021"/>
    <x v="3"/>
    <x v="4"/>
    <x v="0"/>
    <n v="4"/>
    <n v="0.05"/>
    <n v="133000"/>
    <n v="94229"/>
    <n v="38771"/>
    <n v="0.29151127819548872"/>
    <x v="0"/>
  </r>
  <r>
    <n v="76"/>
    <x v="8"/>
    <s v="C001"/>
    <x v="3"/>
    <x v="1"/>
    <x v="0"/>
    <n v="2"/>
    <n v="0.15"/>
    <n v="204000"/>
    <n v="166693"/>
    <n v="37307"/>
    <n v="0.18287745098039215"/>
    <x v="2"/>
  </r>
  <r>
    <n v="77"/>
    <x v="7"/>
    <s v="C032"/>
    <x v="1"/>
    <x v="1"/>
    <x v="0"/>
    <n v="1"/>
    <n v="0.1"/>
    <n v="108000"/>
    <n v="86385"/>
    <n v="21615"/>
    <n v="0.20013888888888889"/>
    <x v="0"/>
  </r>
  <r>
    <n v="78"/>
    <x v="0"/>
    <s v="C038"/>
    <x v="2"/>
    <x v="4"/>
    <x v="2"/>
    <n v="1"/>
    <n v="0.1"/>
    <n v="31500"/>
    <n v="27692"/>
    <n v="3808"/>
    <n v="0.12088888888888889"/>
    <x v="1"/>
  </r>
  <r>
    <n v="79"/>
    <x v="5"/>
    <s v="C023"/>
    <x v="1"/>
    <x v="0"/>
    <x v="1"/>
    <n v="1"/>
    <n v="0"/>
    <n v="45000"/>
    <n v="36339"/>
    <n v="8661"/>
    <n v="0.19246666666666667"/>
    <x v="0"/>
  </r>
  <r>
    <n v="80"/>
    <x v="0"/>
    <s v="C035"/>
    <x v="3"/>
    <x v="2"/>
    <x v="0"/>
    <n v="1"/>
    <n v="0.15"/>
    <n v="59500"/>
    <n v="51998"/>
    <n v="7502"/>
    <n v="0.12608403361344539"/>
    <x v="2"/>
  </r>
  <r>
    <n v="81"/>
    <x v="0"/>
    <s v="C019"/>
    <x v="0"/>
    <x v="2"/>
    <x v="1"/>
    <n v="1"/>
    <n v="0"/>
    <n v="70000"/>
    <n v="48901"/>
    <n v="21099"/>
    <n v="0.30141428571428569"/>
    <x v="0"/>
  </r>
  <r>
    <n v="82"/>
    <x v="8"/>
    <s v="C018"/>
    <x v="0"/>
    <x v="1"/>
    <x v="2"/>
    <n v="3"/>
    <n v="0"/>
    <n v="360000"/>
    <n v="282905"/>
    <n v="77095"/>
    <n v="0.21415277777777778"/>
    <x v="0"/>
  </r>
  <r>
    <n v="83"/>
    <x v="7"/>
    <s v="C001"/>
    <x v="2"/>
    <x v="4"/>
    <x v="1"/>
    <n v="1"/>
    <n v="0"/>
    <n v="35000"/>
    <n v="30486"/>
    <n v="4514"/>
    <n v="0.12897142857142857"/>
    <x v="2"/>
  </r>
  <r>
    <n v="84"/>
    <x v="1"/>
    <s v="C031"/>
    <x v="0"/>
    <x v="1"/>
    <x v="1"/>
    <n v="0"/>
    <n v="0.15"/>
    <n v="102000"/>
    <n v="79933"/>
    <n v="22067"/>
    <n v="0.21634313725490195"/>
    <x v="2"/>
  </r>
  <r>
    <n v="85"/>
    <x v="4"/>
    <s v="C010"/>
    <x v="2"/>
    <x v="1"/>
    <x v="0"/>
    <n v="2"/>
    <n v="0.1"/>
    <n v="216000"/>
    <n v="167971"/>
    <n v="48029"/>
    <n v="0.22235648148148149"/>
    <x v="0"/>
  </r>
  <r>
    <n v="86"/>
    <x v="7"/>
    <s v="C034"/>
    <x v="1"/>
    <x v="4"/>
    <x v="1"/>
    <n v="4"/>
    <n v="0.15"/>
    <n v="119000"/>
    <n v="104412"/>
    <n v="14588"/>
    <n v="0.12258823529411765"/>
    <x v="0"/>
  </r>
  <r>
    <n v="87"/>
    <x v="7"/>
    <s v="C040"/>
    <x v="0"/>
    <x v="3"/>
    <x v="2"/>
    <n v="4"/>
    <n v="0"/>
    <n v="32000"/>
    <n v="25044"/>
    <n v="6956"/>
    <n v="0.21737500000000001"/>
    <x v="0"/>
  </r>
  <r>
    <n v="88"/>
    <x v="8"/>
    <s v="C006"/>
    <x v="3"/>
    <x v="2"/>
    <x v="0"/>
    <n v="1"/>
    <n v="0"/>
    <n v="70000"/>
    <n v="43449"/>
    <n v="26551"/>
    <n v="0.37930000000000003"/>
    <x v="1"/>
  </r>
  <r>
    <n v="89"/>
    <x v="8"/>
    <s v="C039"/>
    <x v="1"/>
    <x v="0"/>
    <x v="0"/>
    <n v="1"/>
    <n v="0.05"/>
    <n v="42750"/>
    <n v="34319"/>
    <n v="8431"/>
    <n v="0.19721637426900585"/>
    <x v="3"/>
  </r>
  <r>
    <n v="90"/>
    <x v="2"/>
    <s v="C015"/>
    <x v="2"/>
    <x v="3"/>
    <x v="2"/>
    <n v="2"/>
    <n v="0"/>
    <n v="16000"/>
    <n v="12185"/>
    <n v="3815"/>
    <n v="0.2384375"/>
    <x v="0"/>
  </r>
  <r>
    <n v="91"/>
    <x v="8"/>
    <s v="C010"/>
    <x v="0"/>
    <x v="1"/>
    <x v="0"/>
    <n v="2"/>
    <n v="0.15"/>
    <n v="204000"/>
    <n v="175340"/>
    <n v="28660"/>
    <n v="0.14049019607843138"/>
    <x v="0"/>
  </r>
  <r>
    <n v="92"/>
    <x v="1"/>
    <s v="C030"/>
    <x v="2"/>
    <x v="4"/>
    <x v="1"/>
    <n v="2"/>
    <n v="0.1"/>
    <n v="63000"/>
    <n v="46230"/>
    <n v="16770"/>
    <n v="0.2661904761904762"/>
    <x v="1"/>
  </r>
  <r>
    <n v="93"/>
    <x v="1"/>
    <s v="C021"/>
    <x v="2"/>
    <x v="1"/>
    <x v="0"/>
    <n v="3"/>
    <n v="0.15"/>
    <n v="306000"/>
    <n v="236432"/>
    <n v="69568"/>
    <n v="0.22734640522875818"/>
    <x v="0"/>
  </r>
  <r>
    <n v="94"/>
    <x v="2"/>
    <s v="C018"/>
    <x v="0"/>
    <x v="2"/>
    <x v="1"/>
    <n v="3"/>
    <n v="0.1"/>
    <n v="189000"/>
    <n v="162196"/>
    <n v="26804"/>
    <n v="0.14182010582010582"/>
    <x v="1"/>
  </r>
  <r>
    <n v="95"/>
    <x v="6"/>
    <s v="C028"/>
    <x v="1"/>
    <x v="1"/>
    <x v="1"/>
    <n v="2"/>
    <n v="0.05"/>
    <n v="228000"/>
    <n v="160392"/>
    <n v="67608"/>
    <n v="0.29652631578947369"/>
    <x v="0"/>
  </r>
  <r>
    <n v="96"/>
    <x v="0"/>
    <s v="C011"/>
    <x v="2"/>
    <x v="4"/>
    <x v="2"/>
    <n v="1"/>
    <n v="0.1"/>
    <n v="31500"/>
    <n v="26193"/>
    <n v="5307"/>
    <n v="0.16847619047619047"/>
    <x v="2"/>
  </r>
  <r>
    <n v="97"/>
    <x v="1"/>
    <s v="C030"/>
    <x v="0"/>
    <x v="0"/>
    <x v="1"/>
    <n v="1"/>
    <n v="0.1"/>
    <n v="40500"/>
    <n v="34218"/>
    <n v="6282"/>
    <n v="0.15511111111111112"/>
    <x v="0"/>
  </r>
  <r>
    <n v="98"/>
    <x v="8"/>
    <s v="C035"/>
    <x v="1"/>
    <x v="4"/>
    <x v="0"/>
    <n v="2"/>
    <n v="0.05"/>
    <n v="66500"/>
    <n v="51995"/>
    <n v="14505"/>
    <n v="0.21812030075187969"/>
    <x v="0"/>
  </r>
  <r>
    <n v="99"/>
    <x v="8"/>
    <s v="C029"/>
    <x v="0"/>
    <x v="2"/>
    <x v="1"/>
    <n v="1"/>
    <n v="0.05"/>
    <n v="66500"/>
    <n v="48805"/>
    <n v="17695"/>
    <n v="0.26609022556390977"/>
    <x v="1"/>
  </r>
  <r>
    <n v="100"/>
    <x v="4"/>
    <s v="C002"/>
    <x v="3"/>
    <x v="2"/>
    <x v="1"/>
    <n v="1"/>
    <n v="0.15"/>
    <n v="59500"/>
    <n v="43202"/>
    <n v="16298"/>
    <n v="0.2739159663865546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CA7433-5360-41A7-9422-79CC3AB8D06E}" name="PivotTable1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13" firstHeaderRow="1" firstDataRow="1" firstDataCol="1"/>
  <pivotFields count="13">
    <pivotField showAll="0"/>
    <pivotField axis="axisRow" showAll="0" sortType="ascending">
      <items count="93">
        <item x="1"/>
        <item x="6"/>
        <item x="2"/>
        <item x="4"/>
        <item x="7"/>
        <item x="5"/>
        <item x="3"/>
        <item x="8"/>
        <item x="0"/>
        <item m="1" x="21"/>
        <item m="1" x="43"/>
        <item m="1" x="51"/>
        <item m="1" x="85"/>
        <item m="1" x="46"/>
        <item m="1" x="88"/>
        <item m="1" x="53"/>
        <item m="1" x="10"/>
        <item m="1" x="91"/>
        <item m="1" x="36"/>
        <item m="1" x="60"/>
        <item m="1" x="39"/>
        <item m="1" x="31"/>
        <item m="1" x="75"/>
        <item m="1" x="64"/>
        <item m="1" x="59"/>
        <item m="1" x="73"/>
        <item m="1" x="22"/>
        <item m="1" x="28"/>
        <item m="1" x="54"/>
        <item m="1" x="20"/>
        <item m="1" x="90"/>
        <item m="1" x="47"/>
        <item m="1" x="42"/>
        <item m="1" x="72"/>
        <item m="1" x="16"/>
        <item m="1" x="89"/>
        <item m="1" x="11"/>
        <item m="1" x="30"/>
        <item m="1" x="49"/>
        <item m="1" x="27"/>
        <item m="1" x="55"/>
        <item m="1" x="57"/>
        <item m="1" x="37"/>
        <item m="1" x="58"/>
        <item m="1" x="14"/>
        <item m="1" x="70"/>
        <item m="1" x="44"/>
        <item m="1" x="24"/>
        <item m="1" x="56"/>
        <item m="1" x="23"/>
        <item m="1" x="77"/>
        <item m="1" x="86"/>
        <item m="1" x="79"/>
        <item m="1" x="62"/>
        <item m="1" x="50"/>
        <item m="1" x="40"/>
        <item m="1" x="81"/>
        <item m="1" x="15"/>
        <item m="1" x="18"/>
        <item m="1" x="38"/>
        <item m="1" x="63"/>
        <item m="1" x="52"/>
        <item m="1" x="45"/>
        <item m="1" x="67"/>
        <item m="1" x="17"/>
        <item m="1" x="34"/>
        <item m="1" x="13"/>
        <item m="1" x="12"/>
        <item m="1" x="32"/>
        <item m="1" x="26"/>
        <item m="1" x="65"/>
        <item m="1" x="48"/>
        <item m="1" x="66"/>
        <item m="1" x="87"/>
        <item m="1" x="84"/>
        <item m="1" x="29"/>
        <item m="1" x="68"/>
        <item m="1" x="78"/>
        <item m="1" x="74"/>
        <item m="1" x="76"/>
        <item m="1" x="41"/>
        <item m="1" x="69"/>
        <item m="1" x="9"/>
        <item m="1" x="83"/>
        <item m="1" x="19"/>
        <item m="1" x="80"/>
        <item m="1" x="61"/>
        <item m="1" x="82"/>
        <item m="1" x="35"/>
        <item m="1" x="25"/>
        <item m="1" x="33"/>
        <item m="1" x="71"/>
        <item t="default"/>
      </items>
    </pivotField>
    <pivotField showAll="0"/>
    <pivotField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Fields count="1">
    <field x="1"/>
  </rowFields>
  <rowItems count="10">
    <i>
      <x/>
    </i>
    <i>
      <x v="1"/>
    </i>
    <i>
      <x v="2"/>
    </i>
    <i>
      <x v="3"/>
    </i>
    <i>
      <x v="4"/>
    </i>
    <i>
      <x v="5"/>
    </i>
    <i>
      <x v="6"/>
    </i>
    <i>
      <x v="7"/>
    </i>
    <i>
      <x v="8"/>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24538-5C87-4D58-8038-D42EFC4B436D}"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S9" firstHeaderRow="1" firstDataRow="1" firstDataCol="1"/>
  <pivotFields count="13">
    <pivotField showAll="0"/>
    <pivotField showAll="0"/>
    <pivotField showAll="0"/>
    <pivotField showAll="0">
      <items count="6">
        <item x="2"/>
        <item x="3"/>
        <item x="4"/>
        <item x="0"/>
        <item x="1"/>
        <item t="default"/>
      </items>
    </pivotField>
    <pivotField axis="axisRow"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Fields count="1">
    <field x="4"/>
  </rowFields>
  <rowItems count="6">
    <i>
      <x/>
    </i>
    <i>
      <x v="1"/>
    </i>
    <i>
      <x v="3"/>
    </i>
    <i>
      <x v="4"/>
    </i>
    <i>
      <x v="5"/>
    </i>
    <i t="grand">
      <x/>
    </i>
  </rowItems>
  <colItems count="1">
    <i/>
  </colItems>
  <dataFields count="1">
    <dataField name="Sum of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9E9E6-5F85-4846-81EC-49BC28198FF0}"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4:Q27" firstHeaderRow="1" firstDataRow="2" firstDataCol="1"/>
  <pivotFields count="13">
    <pivotField dataField="1" showAll="0"/>
    <pivotField showAll="0"/>
    <pivotField showAll="0"/>
    <pivotField showAll="0">
      <items count="6">
        <item x="2"/>
        <item x="3"/>
        <item x="4"/>
        <item x="0"/>
        <item x="1"/>
        <item t="default"/>
      </items>
    </pivotField>
    <pivotField showAll="0">
      <items count="7">
        <item x="3"/>
        <item x="1"/>
        <item x="5"/>
        <item x="4"/>
        <item x="2"/>
        <item x="0"/>
        <item t="default"/>
      </items>
    </pivotField>
    <pivotField axis="axisRow" showAll="0">
      <items count="4">
        <item x="2"/>
        <item h="1" x="0"/>
        <item h="1" x="1"/>
        <item t="default"/>
      </items>
    </pivotField>
    <pivotField showAll="0"/>
    <pivotField numFmtId="9" showAll="0"/>
    <pivotField showAll="0"/>
    <pivotField showAll="0"/>
    <pivotField showAll="0"/>
    <pivotField showAll="0"/>
    <pivotField axis="axisCol" showAll="0">
      <items count="5">
        <item x="2"/>
        <item x="0"/>
        <item x="1"/>
        <item x="3"/>
        <item t="default"/>
      </items>
    </pivotField>
  </pivotFields>
  <rowFields count="1">
    <field x="5"/>
  </rowFields>
  <rowItems count="2">
    <i>
      <x/>
    </i>
    <i t="grand">
      <x/>
    </i>
  </rowItems>
  <colFields count="1">
    <field x="12"/>
  </colFields>
  <colItems count="4">
    <i>
      <x/>
    </i>
    <i>
      <x v="1"/>
    </i>
    <i>
      <x v="2"/>
    </i>
    <i t="grand">
      <x/>
    </i>
  </colItems>
  <dataFields count="1">
    <dataField name="Count of Order_ID" fld="0" subtotal="count" baseField="5"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0E7F99-7F0B-4C49-9597-B3779A88B9BA}"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4:K26" firstHeaderRow="1" firstDataRow="1" firstDataCol="1"/>
  <pivotFields count="13">
    <pivotField showAll="0"/>
    <pivotField showAll="0"/>
    <pivotField showAll="0"/>
    <pivotField showAll="0">
      <items count="6">
        <item x="2"/>
        <item x="3"/>
        <item x="4"/>
        <item x="0"/>
        <item x="1"/>
        <item t="default"/>
      </items>
    </pivotField>
    <pivotField showAll="0">
      <items count="7">
        <item x="3"/>
        <item x="1"/>
        <item x="5"/>
        <item x="4"/>
        <item x="2"/>
        <item x="0"/>
        <item t="default"/>
      </items>
    </pivotField>
    <pivotField axis="axisRow" showAll="0">
      <items count="4">
        <item x="2"/>
        <item h="1" x="0"/>
        <item h="1" x="1"/>
        <item t="default"/>
      </items>
    </pivotField>
    <pivotField showAll="0"/>
    <pivotField numFmtId="9" showAll="0"/>
    <pivotField showAll="0"/>
    <pivotField showAll="0"/>
    <pivotField dataField="1" showAll="0"/>
    <pivotField showAll="0"/>
    <pivotField showAll="0">
      <items count="5">
        <item x="2"/>
        <item x="0"/>
        <item x="1"/>
        <item x="3"/>
        <item t="default"/>
      </items>
    </pivotField>
  </pivotFields>
  <rowFields count="1">
    <field x="5"/>
  </rowFields>
  <rowItems count="2">
    <i>
      <x/>
    </i>
    <i t="grand">
      <x/>
    </i>
  </rowItems>
  <colItems count="1">
    <i/>
  </colItems>
  <dataFields count="1">
    <dataField name="Sum of Profit" fld="10"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B3D570-FBC4-414C-A713-958DAF8EBCB9}"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4:H26" firstHeaderRow="1" firstDataRow="1" firstDataCol="1"/>
  <pivotFields count="13">
    <pivotField showAll="0"/>
    <pivotField showAll="0"/>
    <pivotField showAll="0"/>
    <pivotField showAll="0">
      <items count="6">
        <item x="2"/>
        <item x="3"/>
        <item x="4"/>
        <item x="0"/>
        <item x="1"/>
        <item t="default"/>
      </items>
    </pivotField>
    <pivotField showAll="0">
      <items count="7">
        <item x="3"/>
        <item x="1"/>
        <item x="5"/>
        <item x="4"/>
        <item x="2"/>
        <item x="0"/>
        <item t="default"/>
      </items>
    </pivotField>
    <pivotField axis="axisRow"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Fields count="1">
    <field x="5"/>
  </rowFields>
  <rowItems count="2">
    <i>
      <x/>
    </i>
    <i t="grand">
      <x/>
    </i>
  </rowItems>
  <colItems count="1">
    <i/>
  </colItems>
  <dataFields count="1">
    <dataField name="Sum of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22E0FC-412A-4D5D-AB40-FD8A8E0C1854}"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L19" firstHeaderRow="0" firstDataRow="1" firstDataCol="1"/>
  <pivotFields count="13">
    <pivotField showAll="0"/>
    <pivotField showAll="0"/>
    <pivotField showAll="0"/>
    <pivotField axis="axisRow"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dataField="1" showAll="0"/>
    <pivotField showAll="0"/>
    <pivotField showAll="0">
      <items count="5">
        <item x="2"/>
        <item x="0"/>
        <item x="1"/>
        <item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Sales" fld="8"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10025E-1FFA-46DB-B2FF-FE5F1923BC19}"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9" firstHeaderRow="1" firstDataRow="1" firstDataCol="1"/>
  <pivotFields count="13">
    <pivotField showAll="0"/>
    <pivotField showAll="0"/>
    <pivotField showAll="0"/>
    <pivotField axis="axisRow"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showAll="0"/>
    <pivotField showAll="0"/>
    <pivotField showAll="0"/>
    <pivotField dataField="1" showAll="0"/>
    <pivotField showAll="0">
      <items count="5">
        <item x="2"/>
        <item x="0"/>
        <item x="1"/>
        <item x="3"/>
        <item t="default"/>
      </items>
    </pivotField>
  </pivotFields>
  <rowFields count="1">
    <field x="3"/>
  </rowFields>
  <rowItems count="6">
    <i>
      <x/>
    </i>
    <i>
      <x v="1"/>
    </i>
    <i>
      <x v="2"/>
    </i>
    <i>
      <x v="3"/>
    </i>
    <i>
      <x v="4"/>
    </i>
    <i t="grand">
      <x/>
    </i>
  </rowItems>
  <colItems count="1">
    <i/>
  </colItems>
  <dataFields count="1">
    <dataField name="Sum of Profit Margi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5766BF-C781-4797-AFD2-FF91B8F82C4E}"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3:H19" firstHeaderRow="1" firstDataRow="1" firstDataCol="1"/>
  <pivotFields count="13">
    <pivotField showAll="0"/>
    <pivotField showAll="0"/>
    <pivotField showAll="0"/>
    <pivotField axis="axisRow"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Fields count="1">
    <field x="3"/>
  </rowFields>
  <rowItems count="6">
    <i>
      <x/>
    </i>
    <i>
      <x v="1"/>
    </i>
    <i>
      <x v="2"/>
    </i>
    <i>
      <x v="3"/>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4C4569-DDC1-4236-A4BB-9A067098588D}"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3">
    <pivotField showAll="0"/>
    <pivotField showAll="0"/>
    <pivotField showAll="0"/>
    <pivotField showAll="0">
      <items count="6">
        <item x="2"/>
        <item x="3"/>
        <item x="4"/>
        <item x="0"/>
        <item x="1"/>
        <item t="default"/>
      </items>
    </pivotField>
    <pivotField axis="axisRow" showAll="0">
      <items count="7">
        <item x="3"/>
        <item x="1"/>
        <item x="5"/>
        <item x="4"/>
        <item x="2"/>
        <item x="0"/>
        <item t="default"/>
      </items>
    </pivotField>
    <pivotField showAll="0">
      <items count="4">
        <item x="2"/>
        <item h="1" x="0"/>
        <item h="1" x="1"/>
        <item t="default"/>
      </items>
    </pivotField>
    <pivotField showAll="0"/>
    <pivotField numFmtId="9" showAll="0"/>
    <pivotField showAll="0"/>
    <pivotField showAll="0"/>
    <pivotField showAll="0"/>
    <pivotField dataField="1" showAll="0"/>
    <pivotField showAll="0">
      <items count="5">
        <item x="2"/>
        <item x="0"/>
        <item x="1"/>
        <item x="3"/>
        <item t="default"/>
      </items>
    </pivotField>
  </pivotFields>
  <rowFields count="1">
    <field x="4"/>
  </rowFields>
  <rowItems count="6">
    <i>
      <x/>
    </i>
    <i>
      <x v="1"/>
    </i>
    <i>
      <x v="3"/>
    </i>
    <i>
      <x v="4"/>
    </i>
    <i>
      <x v="5"/>
    </i>
    <i t="grand">
      <x/>
    </i>
  </rowItems>
  <colItems count="1">
    <i/>
  </colItems>
  <dataFields count="1">
    <dataField name="Sum of Profit Margin" fld="11"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0C2177-8F02-4887-BD53-7444ECF27B5E}"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8" firstHeaderRow="1" firstDataRow="1" firstDataCol="1"/>
  <pivotFields count="13">
    <pivotField showAll="0"/>
    <pivotField showAll="0"/>
    <pivotField showAll="0"/>
    <pivotField showAll="0">
      <items count="6">
        <item x="2"/>
        <item x="3"/>
        <item x="4"/>
        <item x="0"/>
        <item x="1"/>
        <item t="default"/>
      </items>
    </pivotField>
    <pivotField axis="axisRow" showAll="0">
      <items count="7">
        <item x="3"/>
        <item x="1"/>
        <item x="5"/>
        <item x="4"/>
        <item x="2"/>
        <item x="0"/>
        <item t="default"/>
      </items>
    </pivotField>
    <pivotField showAll="0">
      <items count="4">
        <item x="2"/>
        <item h="1" x="0"/>
        <item h="1" x="1"/>
        <item t="default"/>
      </items>
    </pivotField>
    <pivotField showAll="0"/>
    <pivotField numFmtId="9" showAll="0"/>
    <pivotField showAll="0"/>
    <pivotField showAll="0"/>
    <pivotField dataField="1" showAll="0"/>
    <pivotField showAll="0"/>
    <pivotField showAll="0">
      <items count="5">
        <item x="2"/>
        <item x="0"/>
        <item x="1"/>
        <item x="3"/>
        <item t="default"/>
      </items>
    </pivotField>
  </pivotFields>
  <rowFields count="1">
    <field x="4"/>
  </rowFields>
  <rowItems count="6">
    <i>
      <x/>
    </i>
    <i>
      <x v="1"/>
    </i>
    <i>
      <x v="3"/>
    </i>
    <i>
      <x v="4"/>
    </i>
    <i>
      <x v="5"/>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C6E3A1-9E86-4CF2-82EB-9F2217224E35}"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9" firstHeaderRow="1" firstDataRow="1" firstDataCol="1"/>
  <pivotFields count="13">
    <pivotField showAll="0"/>
    <pivotField showAll="0"/>
    <pivotField showAll="0"/>
    <pivotField showAll="0">
      <items count="6">
        <item x="2"/>
        <item x="3"/>
        <item x="4"/>
        <item x="0"/>
        <item x="1"/>
        <item t="default"/>
      </items>
    </pivotField>
    <pivotField axis="axisRow"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Fields count="1">
    <field x="4"/>
  </rowFields>
  <rowItems count="6">
    <i>
      <x/>
    </i>
    <i>
      <x v="1"/>
    </i>
    <i>
      <x v="3"/>
    </i>
    <i>
      <x v="4"/>
    </i>
    <i>
      <x v="5"/>
    </i>
    <i t="grand">
      <x/>
    </i>
  </rowItems>
  <colItems count="1">
    <i/>
  </colItems>
  <dataFields count="1">
    <dataField name="Sum of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74685C-CD89-41D9-87F5-2CE62867836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pivotField showAll="0"/>
    <pivotField showAll="0"/>
    <pivotField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dataField="1" showAll="0"/>
    <pivotField showAll="0"/>
    <pivotField showAll="0"/>
    <pivotField showAll="0"/>
    <pivotField showAll="0">
      <items count="5">
        <item x="2"/>
        <item x="0"/>
        <item x="1"/>
        <item x="3"/>
        <item t="default"/>
      </items>
    </pivotField>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7B35E0-16C8-4E82-9507-60A2C5C7DF57}"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showAll="0"/>
    <pivotField showAll="0"/>
    <pivotField showAll="0"/>
    <pivotField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showAll="0"/>
    <pivotField showAll="0"/>
    <pivotField dataField="1" showAll="0"/>
    <pivotField showAll="0"/>
    <pivotField showAll="0">
      <items count="5">
        <item x="2"/>
        <item x="0"/>
        <item x="1"/>
        <item x="3"/>
        <item t="default"/>
      </items>
    </pivotField>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C7EE2A-CA44-41B8-978C-909A9C5090C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3">
    <pivotField showAll="0"/>
    <pivotField showAll="0"/>
    <pivotField dataField="1" showAll="0"/>
    <pivotField showAll="0">
      <items count="6">
        <item x="2"/>
        <item x="3"/>
        <item x="4"/>
        <item x="0"/>
        <item x="1"/>
        <item t="default"/>
      </items>
    </pivotField>
    <pivotField showAll="0">
      <items count="7">
        <item x="3"/>
        <item x="1"/>
        <item x="5"/>
        <item x="4"/>
        <item x="2"/>
        <item x="0"/>
        <item t="default"/>
      </items>
    </pivotField>
    <pivotField showAll="0"/>
    <pivotField showAll="0"/>
    <pivotField numFmtId="9" showAll="0"/>
    <pivotField showAll="0"/>
    <pivotField showAll="0"/>
    <pivotField showAll="0"/>
    <pivotField showAll="0"/>
    <pivotField showAll="0">
      <items count="5">
        <item x="2"/>
        <item x="0"/>
        <item x="1"/>
        <item x="3"/>
        <item t="default"/>
      </items>
    </pivotField>
  </pivotFields>
  <rowItems count="1">
    <i/>
  </rowItems>
  <colItems count="1">
    <i/>
  </colItems>
  <dataFields count="1">
    <dataField name="Count of Custom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6B9CAF-A115-4C62-9D6A-88F57462181E}"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pivotField showAll="0">
      <items count="6">
        <item x="2"/>
        <item x="3"/>
        <item x="4"/>
        <item x="0"/>
        <item x="1"/>
        <item t="default"/>
      </items>
    </pivotField>
    <pivotField showAll="0">
      <items count="7">
        <item x="3"/>
        <item x="1"/>
        <item x="5"/>
        <item x="4"/>
        <item x="2"/>
        <item x="0"/>
        <item t="default"/>
      </items>
    </pivotField>
    <pivotField showAll="0">
      <items count="4">
        <item x="2"/>
        <item h="1" x="0"/>
        <item h="1" x="1"/>
        <item t="default"/>
      </items>
    </pivotField>
    <pivotField showAll="0"/>
    <pivotField numFmtId="9" showAll="0"/>
    <pivotField showAll="0"/>
    <pivotField showAll="0"/>
    <pivotField showAll="0"/>
    <pivotField showAll="0"/>
    <pivotField showAll="0">
      <items count="5">
        <item x="2"/>
        <item x="0"/>
        <item x="1"/>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77BEAF-DAD5-4B66-A760-28614BB2E6EA}" sourceName="Region">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2"/>
    <pivotTable tabId="3" name="PivotTable3"/>
    <pivotTable tabId="3" name="PivotTable4"/>
    <pivotTable tabId="3" name="PivotTable6"/>
    <pivotTable tabId="3" name="PivotTable7"/>
    <pivotTable tabId="3" name="PivotTable8"/>
  </pivotTables>
  <data>
    <tabular pivotCacheId="1865837294">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6D9377-11A2-4886-99FB-2CA5F2392A38}" sourceName="Product">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2"/>
    <pivotTable tabId="3" name="PivotTable3"/>
    <pivotTable tabId="3" name="PivotTable4"/>
    <pivotTable tabId="3" name="PivotTable6"/>
    <pivotTable tabId="3" name="PivotTable7"/>
    <pivotTable tabId="3" name="PivotTable8"/>
  </pivotTables>
  <data>
    <tabular pivotCacheId="1865837294">
      <items count="6">
        <i x="3" s="1"/>
        <i x="1" s="1"/>
        <i x="5"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A7457B0-514E-4678-A960-A4C023522A36}" sourceName="Channel">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3"/>
    <pivotTable tabId="3" name="PivotTable4"/>
    <pivotTable tabId="3" name="PivotTable6"/>
    <pivotTable tabId="3" name="PivotTable7"/>
    <pivotTable tabId="3" name="PivotTable8"/>
  </pivotTables>
  <data>
    <tabular pivotCacheId="1865837294">
      <items count="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EEC2CE7-959A-4AC4-A17C-A1D2D0DAD4E6}" sourceName="Status">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6"/>
    <pivotTable tabId="3" name="PivotTable17"/>
    <pivotTable tabId="3" name="PivotTable2"/>
    <pivotTable tabId="3" name="PivotTable3"/>
    <pivotTable tabId="3" name="PivotTable4"/>
    <pivotTable tabId="3" name="PivotTable6"/>
    <pivotTable tabId="3" name="PivotTable7"/>
    <pivotTable tabId="3" name="PivotTable8"/>
  </pivotTables>
  <data>
    <tabular pivotCacheId="186583729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2D2D1D-84DA-402A-A211-7F9A8B6EEBBB}" cache="Slicer_Region" caption="Region" rowHeight="241300"/>
  <slicer name="Product" xr10:uid="{FDFBA4C4-2F33-4019-8087-BD78C4C8AE4E}" cache="Slicer_Product" caption="Product" rowHeight="241300"/>
  <slicer name="Channel" xr10:uid="{1EEACC2C-83ED-4733-8D5C-62A3EEA70C33}" cache="Slicer_Channel" caption="Channel" rowHeight="241300"/>
  <slicer name="Status" xr10:uid="{4478A9BC-F0CF-4798-A436-59E469EF09CD}"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59C015A-33F2-4995-A3CD-192975F6F10F}" cache="Slicer_Region" caption="Region" style="SlicerStyleDark2" rowHeight="144000"/>
  <slicer name="Product 1" xr10:uid="{726C07B7-1A3D-414D-97C2-1D19334A5529}" cache="Slicer_Product" caption="Product" columnCount="2" style="SlicerStyleDark2" rowHeight="252000"/>
  <slicer name="Channel 1" xr10:uid="{3B79614F-C14C-471B-9E49-9AA1189577B0}" cache="Slicer_Channel" caption="Channel" columnCount="3" style="SlicerStyleDark2" rowHeight="468000"/>
  <slicer name="Status 1" xr10:uid="{B5CCDB1C-FEB8-4B85-8270-74F11CC3107A}" cache="Slicer_Status" caption="Status"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A676E9-0A56-4B74-999E-5D95FA8EB35E}" name="Table3" displayName="Table3" ref="A1:M21" totalsRowShown="0">
  <autoFilter ref="A1:M21" xr:uid="{F3A676E9-0A56-4B74-999E-5D95FA8EB35E}"/>
  <tableColumns count="13">
    <tableColumn id="1" xr3:uid="{E89D517F-DB50-4950-B8D7-538933D9A17A}" name="Order_ID"/>
    <tableColumn id="2" xr3:uid="{DA235F07-AD62-4D99-9C4E-6A7245FAE811}" name="Order_Date"/>
    <tableColumn id="3" xr3:uid="{4539FEFE-698D-414F-A8C9-809B168DDF56}" name="Customer_ID"/>
    <tableColumn id="4" xr3:uid="{2625469A-E22B-4BBA-82E3-BCACA3F48F33}" name="Region"/>
    <tableColumn id="5" xr3:uid="{31C5F064-548D-4009-A7EE-BA224ABBD712}" name="Product"/>
    <tableColumn id="6" xr3:uid="{C58DD64F-B75B-4540-937A-23BE65833D45}" name="Channel"/>
    <tableColumn id="7" xr3:uid="{2CBC35FE-0737-4EAB-A07A-B1E53E9232EC}" name="Quantity"/>
    <tableColumn id="8" xr3:uid="{54E4054D-9095-4B59-AA5C-7C375E81A9E8}" name="Discount"/>
    <tableColumn id="9" xr3:uid="{B3629D15-CCF8-4B7B-9E0B-262D3C8BAA96}" name="Sales"/>
    <tableColumn id="10" xr3:uid="{7DE4A361-D28A-4D62-A773-20163B5F3F33}" name="Cost"/>
    <tableColumn id="11" xr3:uid="{614BA3A5-A00B-4E3A-B6A5-B5D18BA417A4}" name="Profit"/>
    <tableColumn id="12" xr3:uid="{01668C93-502C-44E3-9D83-D99BCD1DEE24}" name="Profit Margin"/>
    <tableColumn id="13" xr3:uid="{56122DB3-111D-4A46-9C8C-D78EEAFCD2AC}"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C59129-68E7-48C3-BCA7-29F7831E40E7}" name="data" displayName="data" ref="A1:M101" totalsRowShown="0" headerRowDxfId="3" headerRowBorderDxfId="2" tableBorderDxfId="1">
  <autoFilter ref="A1:M101" xr:uid="{19C59129-68E7-48C3-BCA7-29F7831E40E7}"/>
  <tableColumns count="13">
    <tableColumn id="1" xr3:uid="{A1277C40-BC21-4C52-837E-B9147659099A}" name="Order_ID"/>
    <tableColumn id="2" xr3:uid="{B0ED2627-DE15-45DE-8798-AE5B3B3045EA}" name="Order_Date" dataDxfId="0"/>
    <tableColumn id="3" xr3:uid="{27555ED6-800C-4150-8B3C-81B5F7826793}" name="Customer_ID"/>
    <tableColumn id="4" xr3:uid="{B3A89542-CCB9-4DBF-9160-870ADB3ED39E}" name="Region"/>
    <tableColumn id="5" xr3:uid="{2DD57F5C-5D80-41C6-810D-5251016EF35F}" name="Product"/>
    <tableColumn id="6" xr3:uid="{ED8ED131-4679-465F-8D24-CF0F5F2C63BD}" name="Channel"/>
    <tableColumn id="7" xr3:uid="{9AD46352-636F-4532-92B0-EB47215344A0}" name="Quantity"/>
    <tableColumn id="8" xr3:uid="{4553EE93-02CD-46DE-9B24-0869885B9EE6}" name="Discount" dataCellStyle="Per cent"/>
    <tableColumn id="9" xr3:uid="{AC6DC2F8-1256-4FDD-A745-85A6BEC1E047}" name="Sales"/>
    <tableColumn id="10" xr3:uid="{A24C4762-FC39-40AE-9DF0-55560F4DEE93}" name="Cost"/>
    <tableColumn id="11" xr3:uid="{6455C915-614E-4245-88B9-3CFE49DBDCE5}" name="Profit"/>
    <tableColumn id="13" xr3:uid="{897BBA71-5BCF-4E6B-953F-D814EC1F32B4}" name="Profit Margin" dataCellStyle="Per cent">
      <calculatedColumnFormula>data[[#This Row],[Profit]]/data[[#This Row],[Sales]]</calculatedColumnFormula>
    </tableColumn>
    <tableColumn id="12" xr3:uid="{7417C269-E376-4F87-B76F-D143545285C5}" name="Status"/>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9BA8-8327-4A88-B154-54B511BB4269}">
  <dimension ref="A1:M21"/>
  <sheetViews>
    <sheetView workbookViewId="0">
      <selection activeCell="L9" sqref="A2:M21"/>
    </sheetView>
  </sheetViews>
  <sheetFormatPr defaultRowHeight="15" x14ac:dyDescent="0.25"/>
  <cols>
    <col min="1" max="1" width="11.140625" customWidth="1"/>
    <col min="2" max="2" width="13.42578125" customWidth="1"/>
    <col min="3" max="3" width="14.5703125" customWidth="1"/>
    <col min="4" max="4" width="9.28515625" customWidth="1"/>
    <col min="5" max="5" width="10" customWidth="1"/>
    <col min="6" max="6" width="10.42578125" customWidth="1"/>
    <col min="7" max="8" width="10.85546875" customWidth="1"/>
    <col min="12" max="12" width="14.85546875" customWidth="1"/>
  </cols>
  <sheetData>
    <row r="1" spans="1:13" x14ac:dyDescent="0.25">
      <c r="A1" t="s">
        <v>0</v>
      </c>
      <c r="B1" t="s">
        <v>1</v>
      </c>
      <c r="C1" t="s">
        <v>2</v>
      </c>
      <c r="D1" t="s">
        <v>3</v>
      </c>
      <c r="E1" t="s">
        <v>4</v>
      </c>
      <c r="F1" t="s">
        <v>5</v>
      </c>
      <c r="G1" t="s">
        <v>6</v>
      </c>
      <c r="H1" t="s">
        <v>7</v>
      </c>
      <c r="I1" t="s">
        <v>8</v>
      </c>
      <c r="J1" t="s">
        <v>9</v>
      </c>
      <c r="K1" t="s">
        <v>10</v>
      </c>
      <c r="L1" t="s">
        <v>98</v>
      </c>
      <c r="M1" t="s">
        <v>11</v>
      </c>
    </row>
    <row r="2" spans="1:13" x14ac:dyDescent="0.25">
      <c r="A2">
        <v>98</v>
      </c>
      <c r="B2" t="s">
        <v>28</v>
      </c>
      <c r="C2" t="s">
        <v>44</v>
      </c>
      <c r="D2" t="s">
        <v>70</v>
      </c>
      <c r="E2" t="s">
        <v>79</v>
      </c>
      <c r="F2" t="s">
        <v>82</v>
      </c>
      <c r="G2">
        <v>2</v>
      </c>
      <c r="H2">
        <v>0.05</v>
      </c>
      <c r="I2">
        <v>66500</v>
      </c>
      <c r="J2">
        <v>51995</v>
      </c>
      <c r="K2">
        <v>14505</v>
      </c>
      <c r="L2">
        <v>0.21812030075187969</v>
      </c>
      <c r="M2" t="s">
        <v>85</v>
      </c>
    </row>
    <row r="3" spans="1:13" x14ac:dyDescent="0.25">
      <c r="A3">
        <v>96</v>
      </c>
      <c r="B3" t="s">
        <v>23</v>
      </c>
      <c r="C3" t="s">
        <v>53</v>
      </c>
      <c r="D3" t="s">
        <v>71</v>
      </c>
      <c r="E3" t="s">
        <v>79</v>
      </c>
      <c r="F3" t="s">
        <v>84</v>
      </c>
      <c r="G3">
        <v>1</v>
      </c>
      <c r="H3">
        <v>0.1</v>
      </c>
      <c r="I3">
        <v>31500</v>
      </c>
      <c r="J3">
        <v>26193</v>
      </c>
      <c r="K3">
        <v>5307</v>
      </c>
      <c r="L3">
        <v>0.16847619047619047</v>
      </c>
      <c r="M3" t="s">
        <v>87</v>
      </c>
    </row>
    <row r="4" spans="1:13" x14ac:dyDescent="0.25">
      <c r="A4">
        <v>92</v>
      </c>
      <c r="B4" t="s">
        <v>31</v>
      </c>
      <c r="C4" t="s">
        <v>56</v>
      </c>
      <c r="D4" t="s">
        <v>71</v>
      </c>
      <c r="E4" t="s">
        <v>79</v>
      </c>
      <c r="F4" t="s">
        <v>83</v>
      </c>
      <c r="G4">
        <v>2</v>
      </c>
      <c r="H4">
        <v>0.1</v>
      </c>
      <c r="I4">
        <v>31500</v>
      </c>
      <c r="J4">
        <v>46230</v>
      </c>
      <c r="K4">
        <v>16770</v>
      </c>
      <c r="L4">
        <f>Table3[[#This Row],[Profit]]/Table3[[#This Row],[Sales]]</f>
        <v>0.5323809523809524</v>
      </c>
      <c r="M4" t="s">
        <v>86</v>
      </c>
    </row>
    <row r="5" spans="1:13" x14ac:dyDescent="0.25">
      <c r="A5">
        <v>86</v>
      </c>
      <c r="B5" t="s">
        <v>30</v>
      </c>
      <c r="C5" t="s">
        <v>46</v>
      </c>
      <c r="D5" t="s">
        <v>70</v>
      </c>
      <c r="E5" t="s">
        <v>79</v>
      </c>
      <c r="F5" t="s">
        <v>83</v>
      </c>
      <c r="G5">
        <v>4</v>
      </c>
      <c r="H5">
        <v>0.15</v>
      </c>
      <c r="I5">
        <v>119000</v>
      </c>
      <c r="J5">
        <v>104412</v>
      </c>
      <c r="K5">
        <v>14588</v>
      </c>
      <c r="L5">
        <v>0.12258823529411765</v>
      </c>
      <c r="M5" t="s">
        <v>85</v>
      </c>
    </row>
    <row r="6" spans="1:13" x14ac:dyDescent="0.25">
      <c r="A6">
        <v>83</v>
      </c>
      <c r="B6" t="s">
        <v>17</v>
      </c>
      <c r="C6" t="s">
        <v>52</v>
      </c>
      <c r="D6" t="s">
        <v>71</v>
      </c>
      <c r="E6" t="s">
        <v>79</v>
      </c>
      <c r="F6" t="s">
        <v>83</v>
      </c>
      <c r="G6">
        <v>1</v>
      </c>
      <c r="H6">
        <v>0</v>
      </c>
      <c r="I6">
        <v>35000</v>
      </c>
      <c r="J6">
        <v>30486</v>
      </c>
      <c r="K6">
        <v>4514</v>
      </c>
      <c r="L6">
        <v>0.12897142857142857</v>
      </c>
      <c r="M6" t="s">
        <v>87</v>
      </c>
    </row>
    <row r="7" spans="1:13" x14ac:dyDescent="0.25">
      <c r="A7">
        <v>78</v>
      </c>
      <c r="B7" t="s">
        <v>29</v>
      </c>
      <c r="C7" t="s">
        <v>33</v>
      </c>
      <c r="D7" t="s">
        <v>71</v>
      </c>
      <c r="E7" t="s">
        <v>79</v>
      </c>
      <c r="F7" t="s">
        <v>84</v>
      </c>
      <c r="G7">
        <v>1</v>
      </c>
      <c r="H7">
        <v>0.1</v>
      </c>
      <c r="I7">
        <v>31500</v>
      </c>
      <c r="J7">
        <v>27692</v>
      </c>
      <c r="K7">
        <v>3808</v>
      </c>
      <c r="L7">
        <v>0.12088888888888889</v>
      </c>
      <c r="M7" t="s">
        <v>86</v>
      </c>
    </row>
    <row r="8" spans="1:13" x14ac:dyDescent="0.25">
      <c r="A8">
        <v>75</v>
      </c>
      <c r="B8" t="s">
        <v>27</v>
      </c>
      <c r="C8" t="s">
        <v>54</v>
      </c>
      <c r="D8" t="s">
        <v>73</v>
      </c>
      <c r="E8" t="s">
        <v>79</v>
      </c>
      <c r="F8" t="s">
        <v>82</v>
      </c>
      <c r="G8">
        <v>4</v>
      </c>
      <c r="H8">
        <v>0.05</v>
      </c>
      <c r="I8">
        <v>133000</v>
      </c>
      <c r="J8">
        <v>94229</v>
      </c>
      <c r="K8">
        <v>38771</v>
      </c>
      <c r="L8">
        <v>0.29151127819548872</v>
      </c>
      <c r="M8" t="s">
        <v>85</v>
      </c>
    </row>
    <row r="9" spans="1:13" x14ac:dyDescent="0.25">
      <c r="A9">
        <v>74</v>
      </c>
      <c r="B9" t="s">
        <v>26</v>
      </c>
      <c r="C9" t="s">
        <v>57</v>
      </c>
      <c r="D9" t="s">
        <v>73</v>
      </c>
      <c r="E9" t="s">
        <v>79</v>
      </c>
      <c r="F9" t="s">
        <v>84</v>
      </c>
      <c r="G9">
        <v>3</v>
      </c>
      <c r="H9">
        <v>0.1</v>
      </c>
      <c r="I9">
        <v>94500</v>
      </c>
      <c r="J9">
        <v>66855</v>
      </c>
      <c r="K9">
        <v>27645</v>
      </c>
      <c r="L9">
        <v>0.29253968253968254</v>
      </c>
      <c r="M9" t="s">
        <v>86</v>
      </c>
    </row>
    <row r="10" spans="1:13" x14ac:dyDescent="0.25">
      <c r="A10">
        <v>9</v>
      </c>
      <c r="B10" t="s">
        <v>12</v>
      </c>
      <c r="C10" t="s">
        <v>40</v>
      </c>
      <c r="D10" t="s">
        <v>73</v>
      </c>
      <c r="E10" t="s">
        <v>79</v>
      </c>
      <c r="F10" t="s">
        <v>83</v>
      </c>
      <c r="G10">
        <v>3</v>
      </c>
      <c r="H10">
        <v>0.15</v>
      </c>
      <c r="I10">
        <v>89250</v>
      </c>
      <c r="J10">
        <v>60431</v>
      </c>
      <c r="K10">
        <v>28819</v>
      </c>
      <c r="L10">
        <v>0.32290196078431371</v>
      </c>
      <c r="M10" t="s">
        <v>85</v>
      </c>
    </row>
    <row r="11" spans="1:13" x14ac:dyDescent="0.25">
      <c r="A11">
        <v>73</v>
      </c>
      <c r="B11" t="s">
        <v>25</v>
      </c>
      <c r="C11" t="s">
        <v>61</v>
      </c>
      <c r="D11" t="s">
        <v>70</v>
      </c>
      <c r="E11" t="s">
        <v>79</v>
      </c>
      <c r="F11" t="s">
        <v>84</v>
      </c>
      <c r="G11">
        <v>1</v>
      </c>
      <c r="H11">
        <v>0.05</v>
      </c>
      <c r="I11">
        <v>33250</v>
      </c>
      <c r="J11">
        <v>27978</v>
      </c>
      <c r="K11">
        <v>5272</v>
      </c>
      <c r="L11">
        <v>0.15855639097744362</v>
      </c>
      <c r="M11" t="s">
        <v>86</v>
      </c>
    </row>
    <row r="12" spans="1:13" x14ac:dyDescent="0.25">
      <c r="A12">
        <v>11</v>
      </c>
      <c r="B12" t="s">
        <v>13</v>
      </c>
      <c r="C12" t="s">
        <v>42</v>
      </c>
      <c r="D12" t="s">
        <v>70</v>
      </c>
      <c r="E12" t="s">
        <v>79</v>
      </c>
      <c r="F12" t="s">
        <v>82</v>
      </c>
      <c r="G12">
        <v>1</v>
      </c>
      <c r="H12">
        <v>0</v>
      </c>
      <c r="I12">
        <v>35000</v>
      </c>
      <c r="J12">
        <v>28479</v>
      </c>
      <c r="K12">
        <v>6521</v>
      </c>
      <c r="L12">
        <v>0.18631428571428571</v>
      </c>
      <c r="M12" t="s">
        <v>85</v>
      </c>
    </row>
    <row r="13" spans="1:13" x14ac:dyDescent="0.25">
      <c r="A13">
        <v>71</v>
      </c>
      <c r="B13" t="s">
        <v>24</v>
      </c>
      <c r="C13" t="s">
        <v>63</v>
      </c>
      <c r="D13" t="s">
        <v>69</v>
      </c>
      <c r="E13" t="s">
        <v>79</v>
      </c>
      <c r="F13" t="s">
        <v>83</v>
      </c>
      <c r="G13">
        <v>2</v>
      </c>
      <c r="H13">
        <v>0.05</v>
      </c>
      <c r="I13">
        <v>66500</v>
      </c>
      <c r="J13">
        <v>52219</v>
      </c>
      <c r="K13">
        <v>14281</v>
      </c>
      <c r="L13">
        <v>0.21475187969924811</v>
      </c>
      <c r="M13" t="s">
        <v>85</v>
      </c>
    </row>
    <row r="14" spans="1:13" x14ac:dyDescent="0.25">
      <c r="A14">
        <v>64</v>
      </c>
      <c r="B14" t="s">
        <v>22</v>
      </c>
      <c r="C14" t="s">
        <v>35</v>
      </c>
      <c r="D14" t="s">
        <v>73</v>
      </c>
      <c r="E14" t="s">
        <v>79</v>
      </c>
      <c r="F14" t="s">
        <v>82</v>
      </c>
      <c r="G14">
        <v>1</v>
      </c>
      <c r="H14">
        <v>0.1</v>
      </c>
      <c r="I14">
        <v>31500</v>
      </c>
      <c r="J14">
        <v>22211</v>
      </c>
      <c r="K14">
        <v>9289</v>
      </c>
      <c r="L14">
        <v>0.29488888888888887</v>
      </c>
      <c r="M14" t="s">
        <v>85</v>
      </c>
    </row>
    <row r="15" spans="1:13" x14ac:dyDescent="0.25">
      <c r="A15">
        <v>63</v>
      </c>
      <c r="B15" t="s">
        <v>15</v>
      </c>
      <c r="C15" t="s">
        <v>50</v>
      </c>
      <c r="D15" t="s">
        <v>73</v>
      </c>
      <c r="E15" t="s">
        <v>79</v>
      </c>
      <c r="F15" t="s">
        <v>82</v>
      </c>
      <c r="G15">
        <v>2</v>
      </c>
      <c r="H15">
        <v>0</v>
      </c>
      <c r="I15">
        <v>70000</v>
      </c>
      <c r="J15">
        <v>59906</v>
      </c>
      <c r="K15">
        <v>10094</v>
      </c>
      <c r="L15">
        <v>0.14419999999999999</v>
      </c>
      <c r="M15" t="s">
        <v>86</v>
      </c>
    </row>
    <row r="16" spans="1:13" x14ac:dyDescent="0.25">
      <c r="A16">
        <v>62</v>
      </c>
      <c r="B16" t="s">
        <v>21</v>
      </c>
      <c r="C16" t="s">
        <v>62</v>
      </c>
      <c r="D16" t="s">
        <v>73</v>
      </c>
      <c r="E16" t="s">
        <v>79</v>
      </c>
      <c r="F16" t="s">
        <v>82</v>
      </c>
      <c r="G16">
        <v>2</v>
      </c>
      <c r="H16">
        <v>0.1</v>
      </c>
      <c r="I16">
        <v>63000</v>
      </c>
      <c r="J16">
        <v>39535</v>
      </c>
      <c r="K16">
        <v>23465</v>
      </c>
      <c r="L16">
        <v>0.37246031746031744</v>
      </c>
      <c r="M16" t="s">
        <v>85</v>
      </c>
    </row>
    <row r="17" spans="1:13" x14ac:dyDescent="0.25">
      <c r="A17">
        <v>54</v>
      </c>
      <c r="B17" t="s">
        <v>20</v>
      </c>
      <c r="C17" t="s">
        <v>62</v>
      </c>
      <c r="D17" t="s">
        <v>73</v>
      </c>
      <c r="E17" t="s">
        <v>79</v>
      </c>
      <c r="F17" t="s">
        <v>83</v>
      </c>
      <c r="G17">
        <v>1</v>
      </c>
      <c r="H17">
        <v>0</v>
      </c>
      <c r="I17">
        <v>35000</v>
      </c>
      <c r="J17">
        <v>27670</v>
      </c>
      <c r="K17">
        <v>7330</v>
      </c>
      <c r="L17">
        <v>0.20942857142857144</v>
      </c>
      <c r="M17" t="s">
        <v>87</v>
      </c>
    </row>
    <row r="18" spans="1:13" x14ac:dyDescent="0.25">
      <c r="A18">
        <v>49</v>
      </c>
      <c r="B18" t="s">
        <v>19</v>
      </c>
      <c r="C18" t="s">
        <v>59</v>
      </c>
      <c r="D18" t="s">
        <v>71</v>
      </c>
      <c r="E18" t="s">
        <v>79</v>
      </c>
      <c r="F18" t="s">
        <v>83</v>
      </c>
      <c r="G18">
        <v>3</v>
      </c>
      <c r="H18">
        <v>0.05</v>
      </c>
      <c r="I18">
        <v>99750</v>
      </c>
      <c r="J18">
        <v>76224</v>
      </c>
      <c r="K18">
        <v>23526</v>
      </c>
      <c r="L18">
        <v>0.23584962406015036</v>
      </c>
      <c r="M18" t="s">
        <v>87</v>
      </c>
    </row>
    <row r="19" spans="1:13" x14ac:dyDescent="0.25">
      <c r="A19">
        <v>47</v>
      </c>
      <c r="B19" t="s">
        <v>18</v>
      </c>
      <c r="C19" t="s">
        <v>43</v>
      </c>
      <c r="D19" t="s">
        <v>69</v>
      </c>
      <c r="E19" t="s">
        <v>79</v>
      </c>
      <c r="F19" t="s">
        <v>84</v>
      </c>
      <c r="G19">
        <v>1</v>
      </c>
      <c r="H19">
        <v>0</v>
      </c>
      <c r="I19">
        <v>35000</v>
      </c>
      <c r="J19">
        <v>28150</v>
      </c>
      <c r="K19">
        <v>6850</v>
      </c>
      <c r="L19">
        <v>0.1957142857142857</v>
      </c>
      <c r="M19" t="s">
        <v>85</v>
      </c>
    </row>
    <row r="20" spans="1:13" x14ac:dyDescent="0.25">
      <c r="A20">
        <v>19</v>
      </c>
      <c r="B20" t="s">
        <v>14</v>
      </c>
      <c r="C20" t="s">
        <v>47</v>
      </c>
      <c r="D20" t="s">
        <v>74</v>
      </c>
      <c r="E20" t="s">
        <v>79</v>
      </c>
      <c r="F20" t="s">
        <v>84</v>
      </c>
      <c r="G20">
        <v>1</v>
      </c>
      <c r="H20">
        <v>0.15</v>
      </c>
      <c r="I20">
        <v>29750</v>
      </c>
      <c r="J20">
        <v>25193</v>
      </c>
      <c r="K20">
        <v>4557</v>
      </c>
      <c r="L20">
        <v>0.1531764705882353</v>
      </c>
      <c r="M20" t="s">
        <v>85</v>
      </c>
    </row>
    <row r="21" spans="1:13" x14ac:dyDescent="0.25">
      <c r="A21">
        <v>42</v>
      </c>
      <c r="B21" t="s">
        <v>16</v>
      </c>
      <c r="C21" t="s">
        <v>53</v>
      </c>
      <c r="D21" t="s">
        <v>73</v>
      </c>
      <c r="E21" t="s">
        <v>79</v>
      </c>
      <c r="F21" t="s">
        <v>82</v>
      </c>
      <c r="G21">
        <v>3</v>
      </c>
      <c r="H21">
        <v>0.05</v>
      </c>
      <c r="I21">
        <v>99750</v>
      </c>
      <c r="J21">
        <v>82136</v>
      </c>
      <c r="K21">
        <v>17614</v>
      </c>
      <c r="L21">
        <v>0.1765814536340852</v>
      </c>
      <c r="M21"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ED47-D23E-4BDB-B654-C0F3729B78C5}">
  <dimension ref="A3:AC27"/>
  <sheetViews>
    <sheetView topLeftCell="D34" zoomScale="58" workbookViewId="0">
      <selection activeCell="AF32" sqref="AF32"/>
    </sheetView>
  </sheetViews>
  <sheetFormatPr defaultRowHeight="15" x14ac:dyDescent="0.25"/>
  <cols>
    <col min="1" max="1" width="18.85546875" bestFit="1" customWidth="1"/>
    <col min="2" max="2" width="12.140625" bestFit="1" customWidth="1"/>
    <col min="4" max="4" width="20.28515625" bestFit="1" customWidth="1"/>
    <col min="5" max="5" width="19.28515625" bestFit="1" customWidth="1"/>
    <col min="6" max="6" width="12.5703125" bestFit="1" customWidth="1"/>
    <col min="7" max="7" width="20.28515625" bestFit="1" customWidth="1"/>
    <col min="8" max="8" width="29.140625" bestFit="1" customWidth="1"/>
    <col min="10" max="10" width="20.28515625" bestFit="1" customWidth="1"/>
    <col min="11" max="12" width="19.28515625" bestFit="1" customWidth="1"/>
    <col min="13" max="13" width="25.5703125" bestFit="1" customWidth="1"/>
    <col min="14" max="14" width="24.7109375" bestFit="1" customWidth="1"/>
    <col min="15" max="15" width="15.7109375" bestFit="1" customWidth="1"/>
    <col min="16" max="16" width="13.42578125" bestFit="1" customWidth="1"/>
    <col min="17" max="17" width="17.140625" bestFit="1" customWidth="1"/>
    <col min="18" max="18" width="20.28515625" bestFit="1" customWidth="1"/>
    <col min="19" max="19" width="18.85546875" bestFit="1" customWidth="1"/>
    <col min="28" max="28" width="20.28515625" bestFit="1" customWidth="1"/>
    <col min="29" max="29" width="18.85546875" bestFit="1" customWidth="1"/>
  </cols>
  <sheetData>
    <row r="3" spans="1:29" x14ac:dyDescent="0.25">
      <c r="A3" t="s">
        <v>92</v>
      </c>
      <c r="D3" s="5" t="s">
        <v>94</v>
      </c>
      <c r="E3" t="s">
        <v>91</v>
      </c>
      <c r="G3" s="5" t="s">
        <v>94</v>
      </c>
      <c r="H3" t="s">
        <v>99</v>
      </c>
      <c r="K3" s="5" t="s">
        <v>94</v>
      </c>
      <c r="L3" t="s">
        <v>99</v>
      </c>
      <c r="R3" s="5" t="s">
        <v>94</v>
      </c>
      <c r="S3" t="s">
        <v>91</v>
      </c>
      <c r="AB3" s="5" t="s">
        <v>94</v>
      </c>
      <c r="AC3" t="s">
        <v>91</v>
      </c>
    </row>
    <row r="4" spans="1:29" x14ac:dyDescent="0.25">
      <c r="A4" s="4">
        <v>26</v>
      </c>
      <c r="D4" s="6" t="s">
        <v>78</v>
      </c>
      <c r="E4" s="4">
        <v>90400</v>
      </c>
      <c r="G4" s="6" t="s">
        <v>78</v>
      </c>
      <c r="H4" s="4">
        <v>1.2748116830065359</v>
      </c>
      <c r="K4" s="6" t="s">
        <v>71</v>
      </c>
      <c r="L4" s="4">
        <v>1.4789835784313725</v>
      </c>
      <c r="R4" s="6" t="s">
        <v>78</v>
      </c>
      <c r="S4" s="4">
        <v>90400</v>
      </c>
      <c r="AB4" s="6" t="s">
        <v>103</v>
      </c>
      <c r="AC4" s="4">
        <v>363500</v>
      </c>
    </row>
    <row r="5" spans="1:29" x14ac:dyDescent="0.25">
      <c r="A5" t="s">
        <v>96</v>
      </c>
      <c r="D5" s="6" t="s">
        <v>76</v>
      </c>
      <c r="E5" s="4">
        <v>1374000</v>
      </c>
      <c r="G5" s="6" t="s">
        <v>76</v>
      </c>
      <c r="H5" s="4">
        <v>1.3546279067767457</v>
      </c>
      <c r="K5" s="6" t="s">
        <v>73</v>
      </c>
      <c r="L5" s="4">
        <v>0.75887497665732961</v>
      </c>
      <c r="R5" s="6" t="s">
        <v>76</v>
      </c>
      <c r="S5" s="4">
        <v>1374000</v>
      </c>
      <c r="AB5" s="6" t="s">
        <v>108</v>
      </c>
      <c r="AC5" s="4">
        <v>135250</v>
      </c>
    </row>
    <row r="6" spans="1:29" x14ac:dyDescent="0.25">
      <c r="A6" s="4">
        <v>100</v>
      </c>
      <c r="D6" s="6" t="s">
        <v>79</v>
      </c>
      <c r="E6" s="4">
        <v>255500</v>
      </c>
      <c r="G6" s="6" t="s">
        <v>79</v>
      </c>
      <c r="H6" s="4">
        <v>1.0893519091847266</v>
      </c>
      <c r="K6" s="6" t="s">
        <v>74</v>
      </c>
      <c r="L6" s="4">
        <v>0.1531764705882353</v>
      </c>
      <c r="R6" s="6" t="s">
        <v>79</v>
      </c>
      <c r="S6" s="4">
        <v>255500</v>
      </c>
      <c r="AB6" s="6" t="s">
        <v>104</v>
      </c>
      <c r="AC6" s="4">
        <v>526000</v>
      </c>
    </row>
    <row r="7" spans="1:29" x14ac:dyDescent="0.25">
      <c r="A7" t="s">
        <v>93</v>
      </c>
      <c r="D7" s="6" t="s">
        <v>77</v>
      </c>
      <c r="E7" s="4">
        <v>1144500</v>
      </c>
      <c r="G7" s="6" t="s">
        <v>77</v>
      </c>
      <c r="H7" s="4">
        <v>1.1855028404344192</v>
      </c>
      <c r="K7" s="6" t="s">
        <v>69</v>
      </c>
      <c r="L7" s="4">
        <v>2.4589395547692758</v>
      </c>
      <c r="R7" s="6" t="s">
        <v>77</v>
      </c>
      <c r="S7" s="4">
        <v>1144500</v>
      </c>
      <c r="AB7" s="6" t="s">
        <v>106</v>
      </c>
      <c r="AC7" s="4">
        <v>731600</v>
      </c>
    </row>
    <row r="8" spans="1:29" x14ac:dyDescent="0.25">
      <c r="A8" s="4">
        <v>711361</v>
      </c>
      <c r="D8" s="6" t="s">
        <v>75</v>
      </c>
      <c r="E8" s="4">
        <v>256500</v>
      </c>
      <c r="G8" s="6" t="s">
        <v>75</v>
      </c>
      <c r="H8" s="4">
        <v>0.99440653594771233</v>
      </c>
      <c r="K8" s="6" t="s">
        <v>70</v>
      </c>
      <c r="L8" s="4">
        <v>1.0487262949039264</v>
      </c>
      <c r="R8" s="6" t="s">
        <v>75</v>
      </c>
      <c r="S8" s="4">
        <v>256500</v>
      </c>
      <c r="AB8" s="6" t="s">
        <v>109</v>
      </c>
      <c r="AC8" s="4">
        <v>178600</v>
      </c>
    </row>
    <row r="9" spans="1:29" x14ac:dyDescent="0.25">
      <c r="A9" t="s">
        <v>91</v>
      </c>
      <c r="D9" s="6" t="s">
        <v>95</v>
      </c>
      <c r="E9" s="4">
        <v>3120900</v>
      </c>
      <c r="G9" s="6" t="s">
        <v>95</v>
      </c>
      <c r="H9" s="4">
        <v>5.8987008753501398</v>
      </c>
      <c r="K9" s="6" t="s">
        <v>95</v>
      </c>
      <c r="L9" s="4">
        <v>5.8987008753501398</v>
      </c>
      <c r="R9" s="6" t="s">
        <v>95</v>
      </c>
      <c r="S9" s="4">
        <v>3120900</v>
      </c>
      <c r="AB9" s="6" t="s">
        <v>107</v>
      </c>
      <c r="AC9" s="4">
        <v>228000</v>
      </c>
    </row>
    <row r="10" spans="1:29" x14ac:dyDescent="0.25">
      <c r="A10" s="4">
        <v>3120900</v>
      </c>
      <c r="AB10" s="6" t="s">
        <v>105</v>
      </c>
      <c r="AC10" s="4">
        <v>29750</v>
      </c>
    </row>
    <row r="11" spans="1:29" x14ac:dyDescent="0.25">
      <c r="A11" t="s">
        <v>97</v>
      </c>
      <c r="AB11" s="6" t="s">
        <v>110</v>
      </c>
      <c r="AC11" s="4">
        <v>454500</v>
      </c>
    </row>
    <row r="12" spans="1:29" x14ac:dyDescent="0.25">
      <c r="A12">
        <f>GETPIVOTDATA("Sales",$A$9)/GETPIVOTDATA("Order_ID",$A$3)</f>
        <v>120034.61538461539</v>
      </c>
      <c r="D12" s="5" t="s">
        <v>94</v>
      </c>
      <c r="E12" t="s">
        <v>93</v>
      </c>
      <c r="AB12" s="6" t="s">
        <v>102</v>
      </c>
      <c r="AC12" s="4">
        <v>473700</v>
      </c>
    </row>
    <row r="13" spans="1:29" x14ac:dyDescent="0.25">
      <c r="A13" t="s">
        <v>100</v>
      </c>
      <c r="D13" s="6" t="s">
        <v>78</v>
      </c>
      <c r="E13" s="4">
        <v>19621</v>
      </c>
      <c r="G13" s="5" t="s">
        <v>94</v>
      </c>
      <c r="H13" t="s">
        <v>91</v>
      </c>
      <c r="J13" s="5" t="s">
        <v>94</v>
      </c>
      <c r="K13" t="s">
        <v>91</v>
      </c>
      <c r="L13" t="s">
        <v>93</v>
      </c>
      <c r="AB13" s="6" t="s">
        <v>95</v>
      </c>
      <c r="AC13" s="4">
        <v>3120900</v>
      </c>
    </row>
    <row r="14" spans="1:29" x14ac:dyDescent="0.25">
      <c r="A14">
        <f>GETPIVOTDATA("Profit",$A$7)/GETPIVOTDATA("Sales",$A$9)*100</f>
        <v>22.793457015604474</v>
      </c>
      <c r="D14" s="6" t="s">
        <v>76</v>
      </c>
      <c r="E14" s="4">
        <v>321861</v>
      </c>
      <c r="G14" s="6" t="s">
        <v>71</v>
      </c>
      <c r="H14" s="4">
        <v>607500</v>
      </c>
      <c r="J14" s="6" t="s">
        <v>71</v>
      </c>
      <c r="K14" s="4">
        <v>607500</v>
      </c>
      <c r="L14" s="4">
        <v>127613</v>
      </c>
    </row>
    <row r="15" spans="1:29" x14ac:dyDescent="0.25">
      <c r="D15" s="6" t="s">
        <v>79</v>
      </c>
      <c r="E15" s="4">
        <v>53439</v>
      </c>
      <c r="G15" s="6" t="s">
        <v>73</v>
      </c>
      <c r="H15" s="4">
        <v>595300</v>
      </c>
      <c r="J15" s="6" t="s">
        <v>73</v>
      </c>
      <c r="K15" s="4">
        <v>595300</v>
      </c>
      <c r="L15" s="4">
        <v>94977</v>
      </c>
    </row>
    <row r="16" spans="1:29" x14ac:dyDescent="0.25">
      <c r="D16" s="6" t="s">
        <v>77</v>
      </c>
      <c r="E16" s="4">
        <v>230911</v>
      </c>
      <c r="G16" s="6" t="s">
        <v>74</v>
      </c>
      <c r="H16" s="4">
        <v>29750</v>
      </c>
      <c r="J16" s="6" t="s">
        <v>74</v>
      </c>
      <c r="K16" s="4">
        <v>29750</v>
      </c>
      <c r="L16" s="4">
        <v>4557</v>
      </c>
    </row>
    <row r="17" spans="4:17" x14ac:dyDescent="0.25">
      <c r="D17" s="6" t="s">
        <v>75</v>
      </c>
      <c r="E17" s="4">
        <v>85529</v>
      </c>
      <c r="G17" s="6" t="s">
        <v>69</v>
      </c>
      <c r="H17" s="4">
        <v>1501000</v>
      </c>
      <c r="J17" s="6" t="s">
        <v>69</v>
      </c>
      <c r="K17" s="4">
        <v>1501000</v>
      </c>
      <c r="L17" s="4">
        <v>405129</v>
      </c>
    </row>
    <row r="18" spans="4:17" x14ac:dyDescent="0.25">
      <c r="D18" s="6" t="s">
        <v>95</v>
      </c>
      <c r="E18" s="4">
        <v>711361</v>
      </c>
      <c r="G18" s="6" t="s">
        <v>70</v>
      </c>
      <c r="H18" s="4">
        <v>387350</v>
      </c>
      <c r="J18" s="6" t="s">
        <v>70</v>
      </c>
      <c r="K18" s="4">
        <v>387350</v>
      </c>
      <c r="L18" s="4">
        <v>79085</v>
      </c>
    </row>
    <row r="19" spans="4:17" x14ac:dyDescent="0.25">
      <c r="G19" s="6" t="s">
        <v>95</v>
      </c>
      <c r="H19" s="4">
        <v>3120900</v>
      </c>
      <c r="J19" s="6" t="s">
        <v>95</v>
      </c>
      <c r="K19" s="4">
        <v>3120900</v>
      </c>
      <c r="L19" s="4">
        <v>711361</v>
      </c>
    </row>
    <row r="24" spans="4:17" x14ac:dyDescent="0.25">
      <c r="G24" s="5" t="s">
        <v>94</v>
      </c>
      <c r="H24" t="s">
        <v>91</v>
      </c>
      <c r="J24" s="5" t="s">
        <v>94</v>
      </c>
      <c r="K24" t="s">
        <v>93</v>
      </c>
      <c r="M24" s="5" t="s">
        <v>92</v>
      </c>
      <c r="N24" s="5" t="s">
        <v>101</v>
      </c>
    </row>
    <row r="25" spans="4:17" x14ac:dyDescent="0.25">
      <c r="G25" s="6" t="s">
        <v>84</v>
      </c>
      <c r="H25" s="4">
        <v>3120900</v>
      </c>
      <c r="J25" s="6" t="s">
        <v>84</v>
      </c>
      <c r="K25" s="4">
        <v>711361</v>
      </c>
      <c r="M25" s="5" t="s">
        <v>94</v>
      </c>
      <c r="N25" t="s">
        <v>87</v>
      </c>
      <c r="O25" t="s">
        <v>85</v>
      </c>
      <c r="P25" t="s">
        <v>86</v>
      </c>
      <c r="Q25" t="s">
        <v>95</v>
      </c>
    </row>
    <row r="26" spans="4:17" x14ac:dyDescent="0.25">
      <c r="G26" s="6" t="s">
        <v>95</v>
      </c>
      <c r="H26" s="4">
        <v>3120900</v>
      </c>
      <c r="J26" s="6" t="s">
        <v>95</v>
      </c>
      <c r="K26" s="4">
        <v>711361</v>
      </c>
      <c r="M26" s="6" t="s">
        <v>84</v>
      </c>
      <c r="N26" s="4">
        <v>5</v>
      </c>
      <c r="O26" s="4">
        <v>13</v>
      </c>
      <c r="P26" s="4">
        <v>8</v>
      </c>
      <c r="Q26" s="4">
        <v>26</v>
      </c>
    </row>
    <row r="27" spans="4:17" x14ac:dyDescent="0.25">
      <c r="M27" s="6" t="s">
        <v>95</v>
      </c>
      <c r="N27" s="4">
        <v>5</v>
      </c>
      <c r="O27" s="4">
        <v>13</v>
      </c>
      <c r="P27" s="4">
        <v>8</v>
      </c>
      <c r="Q27" s="4">
        <v>26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BB3C-C203-4789-88A4-49B2818407C7}">
  <dimension ref="A1:T29"/>
  <sheetViews>
    <sheetView tabSelected="1" zoomScale="99" zoomScaleNormal="100" workbookViewId="0">
      <selection activeCell="U11" sqref="U11"/>
    </sheetView>
  </sheetViews>
  <sheetFormatPr defaultRowHeight="15" x14ac:dyDescent="0.25"/>
  <cols>
    <col min="1" max="16384" width="9.140625" style="24"/>
  </cols>
  <sheetData>
    <row r="1" spans="1:20" x14ac:dyDescent="0.25">
      <c r="A1" s="10"/>
      <c r="B1" s="11"/>
      <c r="C1" s="11"/>
      <c r="D1" s="11"/>
      <c r="E1" s="11"/>
      <c r="F1" s="12"/>
      <c r="G1" s="12"/>
      <c r="H1" s="12"/>
      <c r="I1" s="12"/>
      <c r="J1" s="12"/>
      <c r="K1" s="12"/>
      <c r="L1" s="12"/>
      <c r="M1" s="12"/>
      <c r="N1" s="12"/>
      <c r="O1" s="12"/>
      <c r="P1" s="12"/>
      <c r="Q1" s="12"/>
      <c r="R1" s="12"/>
      <c r="S1" s="12"/>
      <c r="T1" s="13"/>
    </row>
    <row r="2" spans="1:20" x14ac:dyDescent="0.25">
      <c r="A2" s="14"/>
      <c r="B2" s="15"/>
      <c r="C2" s="15"/>
      <c r="D2" s="15"/>
      <c r="E2" s="15"/>
      <c r="F2" s="16"/>
      <c r="G2" s="16"/>
      <c r="H2" s="16"/>
      <c r="I2" s="16"/>
      <c r="J2" s="16"/>
      <c r="K2" s="16"/>
      <c r="L2" s="16"/>
      <c r="M2" s="16"/>
      <c r="N2" s="16"/>
      <c r="O2" s="16"/>
      <c r="P2" s="16"/>
      <c r="Q2" s="16"/>
      <c r="R2" s="16"/>
      <c r="S2" s="16"/>
      <c r="T2" s="17"/>
    </row>
    <row r="3" spans="1:20" x14ac:dyDescent="0.25">
      <c r="A3" s="14"/>
      <c r="B3" s="15"/>
      <c r="C3" s="15"/>
      <c r="D3" s="15"/>
      <c r="E3" s="15"/>
      <c r="F3" s="16"/>
      <c r="G3" s="16"/>
      <c r="H3" s="16"/>
      <c r="I3" s="16"/>
      <c r="J3" s="16"/>
      <c r="K3" s="16"/>
      <c r="L3" s="16"/>
      <c r="M3" s="16"/>
      <c r="N3" s="16"/>
      <c r="O3" s="16"/>
      <c r="P3" s="16"/>
      <c r="Q3" s="16"/>
      <c r="R3" s="16"/>
      <c r="S3" s="16"/>
      <c r="T3" s="17"/>
    </row>
    <row r="4" spans="1:20" x14ac:dyDescent="0.25">
      <c r="A4" s="20"/>
      <c r="B4" s="18"/>
      <c r="C4" s="18"/>
      <c r="D4" s="18"/>
      <c r="E4" s="18"/>
      <c r="F4" s="18"/>
      <c r="G4" s="18"/>
      <c r="H4" s="18"/>
      <c r="I4" s="18"/>
      <c r="J4" s="18"/>
      <c r="K4" s="18"/>
      <c r="L4" s="18"/>
      <c r="M4" s="18"/>
      <c r="N4" s="18"/>
      <c r="O4" s="18"/>
      <c r="P4" s="18"/>
      <c r="Q4" s="18"/>
      <c r="R4" s="18"/>
      <c r="S4" s="18"/>
      <c r="T4" s="19"/>
    </row>
    <row r="5" spans="1:20" x14ac:dyDescent="0.25">
      <c r="A5" s="20"/>
      <c r="B5" s="18"/>
      <c r="C5" s="18"/>
      <c r="D5" s="18"/>
      <c r="E5" s="18"/>
      <c r="F5" s="18"/>
      <c r="G5" s="18"/>
      <c r="H5" s="18"/>
      <c r="I5" s="18"/>
      <c r="J5" s="18"/>
      <c r="K5" s="18"/>
      <c r="L5" s="18"/>
      <c r="M5" s="18"/>
      <c r="N5" s="18"/>
      <c r="O5" s="18"/>
      <c r="P5" s="18"/>
      <c r="Q5" s="18"/>
      <c r="R5" s="18"/>
      <c r="S5" s="18"/>
      <c r="T5" s="19"/>
    </row>
    <row r="6" spans="1:20" x14ac:dyDescent="0.25">
      <c r="A6" s="20"/>
      <c r="B6" s="18"/>
      <c r="C6" s="18"/>
      <c r="D6" s="18"/>
      <c r="E6" s="18"/>
      <c r="F6" s="18"/>
      <c r="G6" s="18"/>
      <c r="H6" s="18"/>
      <c r="I6" s="18"/>
      <c r="J6" s="18"/>
      <c r="K6" s="18"/>
      <c r="L6" s="18"/>
      <c r="M6" s="18"/>
      <c r="N6" s="18"/>
      <c r="O6" s="18"/>
      <c r="P6" s="18"/>
      <c r="Q6" s="18"/>
      <c r="R6" s="18"/>
      <c r="S6" s="18"/>
      <c r="T6" s="19"/>
    </row>
    <row r="7" spans="1:20" x14ac:dyDescent="0.25">
      <c r="A7" s="20"/>
      <c r="B7" s="18"/>
      <c r="C7" s="18"/>
      <c r="D7" s="18"/>
      <c r="E7" s="18"/>
      <c r="F7" s="18"/>
      <c r="G7" s="18"/>
      <c r="H7" s="18"/>
      <c r="I7" s="18"/>
      <c r="J7" s="18"/>
      <c r="K7" s="18"/>
      <c r="L7" s="18"/>
      <c r="M7" s="18"/>
      <c r="N7" s="18"/>
      <c r="O7" s="18"/>
      <c r="P7" s="18"/>
      <c r="Q7" s="18"/>
      <c r="R7" s="18"/>
      <c r="S7" s="18"/>
      <c r="T7" s="19"/>
    </row>
    <row r="8" spans="1:20" x14ac:dyDescent="0.25">
      <c r="A8" s="20"/>
      <c r="B8" s="18"/>
      <c r="C8" s="18"/>
      <c r="D8" s="18"/>
      <c r="E8" s="18"/>
      <c r="F8" s="18"/>
      <c r="G8" s="18"/>
      <c r="H8" s="18"/>
      <c r="I8" s="18"/>
      <c r="J8" s="18"/>
      <c r="K8" s="18"/>
      <c r="L8" s="18"/>
      <c r="M8" s="18"/>
      <c r="N8" s="18"/>
      <c r="O8" s="18"/>
      <c r="P8" s="18"/>
      <c r="Q8" s="18"/>
      <c r="R8" s="18"/>
      <c r="S8" s="18"/>
      <c r="T8" s="19"/>
    </row>
    <row r="9" spans="1:20" x14ac:dyDescent="0.25">
      <c r="A9" s="20"/>
      <c r="B9" s="18"/>
      <c r="C9" s="18"/>
      <c r="D9" s="18"/>
      <c r="E9" s="18"/>
      <c r="F9" s="18"/>
      <c r="G9" s="18"/>
      <c r="H9" s="18"/>
      <c r="I9" s="18"/>
      <c r="J9" s="18"/>
      <c r="K9" s="18"/>
      <c r="L9" s="18"/>
      <c r="M9" s="18"/>
      <c r="N9" s="18"/>
      <c r="O9" s="18"/>
      <c r="P9" s="18"/>
      <c r="Q9" s="18"/>
      <c r="R9" s="18"/>
      <c r="S9" s="18"/>
      <c r="T9" s="19"/>
    </row>
    <row r="10" spans="1:20" x14ac:dyDescent="0.25">
      <c r="A10" s="20"/>
      <c r="B10" s="18"/>
      <c r="C10" s="18"/>
      <c r="D10" s="18"/>
      <c r="E10" s="18"/>
      <c r="F10" s="18"/>
      <c r="G10" s="18"/>
      <c r="H10" s="18"/>
      <c r="I10" s="18"/>
      <c r="J10" s="18"/>
      <c r="K10" s="18"/>
      <c r="L10" s="18"/>
      <c r="M10" s="18"/>
      <c r="N10" s="18"/>
      <c r="O10" s="18"/>
      <c r="P10" s="18"/>
      <c r="Q10" s="18"/>
      <c r="R10" s="18"/>
      <c r="S10" s="18"/>
      <c r="T10" s="19"/>
    </row>
    <row r="11" spans="1:20" x14ac:dyDescent="0.25">
      <c r="A11" s="20"/>
      <c r="B11" s="18"/>
      <c r="C11" s="18"/>
      <c r="D11" s="18"/>
      <c r="E11" s="18"/>
      <c r="F11" s="18"/>
      <c r="G11" s="18"/>
      <c r="H11" s="18"/>
      <c r="I11" s="18"/>
      <c r="J11" s="18"/>
      <c r="K11" s="18"/>
      <c r="L11" s="18"/>
      <c r="M11" s="18"/>
      <c r="N11" s="18"/>
      <c r="O11" s="18"/>
      <c r="P11" s="18"/>
      <c r="Q11" s="18"/>
      <c r="R11" s="18"/>
      <c r="S11" s="18"/>
      <c r="T11" s="19"/>
    </row>
    <row r="12" spans="1:20" x14ac:dyDescent="0.25">
      <c r="A12" s="20"/>
      <c r="B12" s="18"/>
      <c r="C12" s="18"/>
      <c r="D12" s="18"/>
      <c r="E12" s="18"/>
      <c r="F12" s="18"/>
      <c r="G12" s="18"/>
      <c r="H12" s="18"/>
      <c r="I12" s="18"/>
      <c r="J12" s="18"/>
      <c r="K12" s="18"/>
      <c r="L12" s="18"/>
      <c r="M12" s="18"/>
      <c r="N12" s="18"/>
      <c r="O12" s="18"/>
      <c r="P12" s="18"/>
      <c r="Q12" s="18"/>
      <c r="R12" s="18"/>
      <c r="S12" s="18"/>
      <c r="T12" s="19"/>
    </row>
    <row r="13" spans="1:20" x14ac:dyDescent="0.25">
      <c r="A13" s="20"/>
      <c r="B13" s="18"/>
      <c r="C13" s="18"/>
      <c r="D13" s="18"/>
      <c r="E13" s="18"/>
      <c r="F13" s="18"/>
      <c r="G13" s="18"/>
      <c r="H13" s="18"/>
      <c r="I13" s="18"/>
      <c r="J13" s="18"/>
      <c r="K13" s="18"/>
      <c r="L13" s="18"/>
      <c r="M13" s="18"/>
      <c r="N13" s="18"/>
      <c r="O13" s="18"/>
      <c r="P13" s="18"/>
      <c r="Q13" s="18"/>
      <c r="R13" s="18"/>
      <c r="S13" s="18"/>
      <c r="T13" s="19"/>
    </row>
    <row r="14" spans="1:20" x14ac:dyDescent="0.25">
      <c r="A14" s="20"/>
      <c r="B14" s="18"/>
      <c r="C14" s="18"/>
      <c r="D14" s="18"/>
      <c r="E14" s="18"/>
      <c r="F14" s="18"/>
      <c r="G14" s="18"/>
      <c r="H14" s="18"/>
      <c r="I14" s="18"/>
      <c r="J14" s="18"/>
      <c r="K14" s="18"/>
      <c r="L14" s="18"/>
      <c r="M14" s="18"/>
      <c r="N14" s="18"/>
      <c r="O14" s="18"/>
      <c r="P14" s="18"/>
      <c r="Q14" s="18"/>
      <c r="R14" s="18"/>
      <c r="S14" s="18"/>
      <c r="T14" s="19"/>
    </row>
    <row r="15" spans="1:20" x14ac:dyDescent="0.25">
      <c r="A15" s="20"/>
      <c r="B15" s="18"/>
      <c r="C15" s="18"/>
      <c r="D15" s="18"/>
      <c r="E15" s="18"/>
      <c r="F15" s="18"/>
      <c r="G15" s="18"/>
      <c r="H15" s="18"/>
      <c r="I15" s="18"/>
      <c r="J15" s="18"/>
      <c r="K15" s="18"/>
      <c r="L15" s="18"/>
      <c r="M15" s="18"/>
      <c r="N15" s="18"/>
      <c r="O15" s="18"/>
      <c r="P15" s="18"/>
      <c r="Q15" s="18"/>
      <c r="R15" s="18"/>
      <c r="S15" s="18"/>
      <c r="T15" s="19"/>
    </row>
    <row r="16" spans="1:20" x14ac:dyDescent="0.25">
      <c r="A16" s="20"/>
      <c r="B16" s="18"/>
      <c r="C16" s="18"/>
      <c r="D16" s="18"/>
      <c r="E16" s="18"/>
      <c r="F16" s="18"/>
      <c r="G16" s="18"/>
      <c r="H16" s="18"/>
      <c r="I16" s="18"/>
      <c r="J16" s="18"/>
      <c r="K16" s="18"/>
      <c r="L16" s="18"/>
      <c r="M16" s="18"/>
      <c r="N16" s="18"/>
      <c r="O16" s="18"/>
      <c r="P16" s="18"/>
      <c r="Q16" s="18"/>
      <c r="R16" s="18"/>
      <c r="S16" s="18"/>
      <c r="T16" s="19"/>
    </row>
    <row r="17" spans="1:20" x14ac:dyDescent="0.25">
      <c r="A17" s="20"/>
      <c r="B17" s="18"/>
      <c r="C17" s="18"/>
      <c r="D17" s="18"/>
      <c r="E17" s="18"/>
      <c r="F17" s="18"/>
      <c r="G17" s="18"/>
      <c r="H17" s="18"/>
      <c r="I17" s="18"/>
      <c r="J17" s="18"/>
      <c r="K17" s="18"/>
      <c r="L17" s="18"/>
      <c r="M17" s="18"/>
      <c r="N17" s="18"/>
      <c r="O17" s="18"/>
      <c r="P17" s="18"/>
      <c r="Q17" s="18"/>
      <c r="R17" s="18"/>
      <c r="S17" s="18"/>
      <c r="T17" s="19"/>
    </row>
    <row r="18" spans="1:20" x14ac:dyDescent="0.25">
      <c r="A18" s="20"/>
      <c r="B18" s="18"/>
      <c r="C18" s="18"/>
      <c r="D18" s="18"/>
      <c r="E18" s="18"/>
      <c r="F18" s="18"/>
      <c r="G18" s="18"/>
      <c r="H18" s="18"/>
      <c r="I18" s="18"/>
      <c r="J18" s="18"/>
      <c r="K18" s="18"/>
      <c r="L18" s="18"/>
      <c r="M18" s="18"/>
      <c r="N18" s="18"/>
      <c r="O18" s="18"/>
      <c r="P18" s="18"/>
      <c r="Q18" s="18"/>
      <c r="R18" s="18"/>
      <c r="S18" s="18"/>
      <c r="T18" s="19"/>
    </row>
    <row r="19" spans="1:20" x14ac:dyDescent="0.25">
      <c r="A19" s="20"/>
      <c r="B19" s="18"/>
      <c r="C19" s="18"/>
      <c r="D19" s="18"/>
      <c r="E19" s="18"/>
      <c r="F19" s="18"/>
      <c r="G19" s="18"/>
      <c r="H19" s="18"/>
      <c r="I19" s="18"/>
      <c r="J19" s="18"/>
      <c r="K19" s="18"/>
      <c r="L19" s="18"/>
      <c r="M19" s="18"/>
      <c r="N19" s="18"/>
      <c r="O19" s="18"/>
      <c r="P19" s="18"/>
      <c r="Q19" s="18"/>
      <c r="R19" s="18"/>
      <c r="S19" s="18"/>
      <c r="T19" s="19"/>
    </row>
    <row r="20" spans="1:20" x14ac:dyDescent="0.25">
      <c r="A20" s="20"/>
      <c r="B20" s="18"/>
      <c r="C20" s="18"/>
      <c r="D20" s="18"/>
      <c r="E20" s="18"/>
      <c r="F20" s="18"/>
      <c r="G20" s="18"/>
      <c r="H20" s="18"/>
      <c r="I20" s="18"/>
      <c r="J20" s="18"/>
      <c r="K20" s="18"/>
      <c r="L20" s="18"/>
      <c r="M20" s="18"/>
      <c r="N20" s="18"/>
      <c r="O20" s="18"/>
      <c r="P20" s="18"/>
      <c r="Q20" s="18"/>
      <c r="R20" s="18"/>
      <c r="S20" s="18"/>
      <c r="T20" s="19"/>
    </row>
    <row r="21" spans="1:20" x14ac:dyDescent="0.25">
      <c r="A21" s="20"/>
      <c r="B21" s="18"/>
      <c r="C21" s="18"/>
      <c r="D21" s="18"/>
      <c r="E21" s="18"/>
      <c r="F21" s="18"/>
      <c r="G21" s="18"/>
      <c r="H21" s="18"/>
      <c r="I21" s="18"/>
      <c r="J21" s="18"/>
      <c r="K21" s="18"/>
      <c r="L21" s="18"/>
      <c r="M21" s="18"/>
      <c r="N21" s="18"/>
      <c r="O21" s="18"/>
      <c r="P21" s="18"/>
      <c r="Q21" s="18"/>
      <c r="R21" s="18"/>
      <c r="S21" s="18"/>
      <c r="T21" s="19"/>
    </row>
    <row r="22" spans="1:20" x14ac:dyDescent="0.25">
      <c r="A22" s="20"/>
      <c r="B22" s="18"/>
      <c r="C22" s="18"/>
      <c r="D22" s="18"/>
      <c r="E22" s="18"/>
      <c r="F22" s="18"/>
      <c r="G22" s="18"/>
      <c r="H22" s="18"/>
      <c r="I22" s="18"/>
      <c r="J22" s="18"/>
      <c r="K22" s="18"/>
      <c r="L22" s="18"/>
      <c r="M22" s="18"/>
      <c r="N22" s="18"/>
      <c r="O22" s="18"/>
      <c r="P22" s="18"/>
      <c r="Q22" s="18"/>
      <c r="R22" s="18"/>
      <c r="S22" s="18"/>
      <c r="T22" s="19"/>
    </row>
    <row r="23" spans="1:20" x14ac:dyDescent="0.25">
      <c r="A23" s="20"/>
      <c r="B23" s="18"/>
      <c r="C23" s="18"/>
      <c r="D23" s="18"/>
      <c r="E23" s="18"/>
      <c r="F23" s="18"/>
      <c r="G23" s="18"/>
      <c r="H23" s="18"/>
      <c r="I23" s="18"/>
      <c r="J23" s="18"/>
      <c r="K23" s="18"/>
      <c r="L23" s="18"/>
      <c r="M23" s="18"/>
      <c r="N23" s="18"/>
      <c r="O23" s="18"/>
      <c r="P23" s="18"/>
      <c r="Q23" s="18"/>
      <c r="R23" s="18"/>
      <c r="S23" s="18"/>
      <c r="T23" s="19"/>
    </row>
    <row r="24" spans="1:20" x14ac:dyDescent="0.25">
      <c r="A24" s="20"/>
      <c r="B24" s="18"/>
      <c r="C24" s="18"/>
      <c r="D24" s="18"/>
      <c r="E24" s="18"/>
      <c r="F24" s="18"/>
      <c r="G24" s="18"/>
      <c r="H24" s="18"/>
      <c r="I24" s="18"/>
      <c r="J24" s="18"/>
      <c r="K24" s="18"/>
      <c r="L24" s="18"/>
      <c r="M24" s="18"/>
      <c r="N24" s="18"/>
      <c r="O24" s="18"/>
      <c r="P24" s="18"/>
      <c r="Q24" s="18"/>
      <c r="R24" s="18"/>
      <c r="S24" s="18"/>
      <c r="T24" s="19"/>
    </row>
    <row r="25" spans="1:20" x14ac:dyDescent="0.25">
      <c r="A25" s="20"/>
      <c r="B25" s="18"/>
      <c r="C25" s="18"/>
      <c r="D25" s="18"/>
      <c r="E25" s="18"/>
      <c r="F25" s="18"/>
      <c r="G25" s="18"/>
      <c r="H25" s="18"/>
      <c r="I25" s="18"/>
      <c r="J25" s="18"/>
      <c r="K25" s="18"/>
      <c r="L25" s="18"/>
      <c r="M25" s="18"/>
      <c r="N25" s="18"/>
      <c r="O25" s="18"/>
      <c r="P25" s="18"/>
      <c r="Q25" s="18"/>
      <c r="R25" s="18"/>
      <c r="S25" s="18"/>
      <c r="T25" s="19"/>
    </row>
    <row r="26" spans="1:20" x14ac:dyDescent="0.25">
      <c r="A26" s="20"/>
      <c r="B26" s="18"/>
      <c r="C26" s="18"/>
      <c r="D26" s="18"/>
      <c r="E26" s="18"/>
      <c r="F26" s="18"/>
      <c r="G26" s="18"/>
      <c r="H26" s="18"/>
      <c r="I26" s="18"/>
      <c r="J26" s="18"/>
      <c r="K26" s="18"/>
      <c r="L26" s="18"/>
      <c r="M26" s="18"/>
      <c r="N26" s="18"/>
      <c r="O26" s="18"/>
      <c r="P26" s="18"/>
      <c r="Q26" s="18"/>
      <c r="R26" s="18"/>
      <c r="S26" s="18"/>
      <c r="T26" s="19"/>
    </row>
    <row r="27" spans="1:20" x14ac:dyDescent="0.25">
      <c r="A27" s="20"/>
      <c r="B27" s="18"/>
      <c r="C27" s="18"/>
      <c r="D27" s="18"/>
      <c r="E27" s="18"/>
      <c r="F27" s="18"/>
      <c r="G27" s="18"/>
      <c r="H27" s="18"/>
      <c r="I27" s="18"/>
      <c r="J27" s="18"/>
      <c r="K27" s="18"/>
      <c r="L27" s="18"/>
      <c r="M27" s="18"/>
      <c r="N27" s="18"/>
      <c r="O27" s="18"/>
      <c r="P27" s="18"/>
      <c r="Q27" s="18"/>
      <c r="R27" s="18"/>
      <c r="S27" s="18"/>
      <c r="T27" s="19"/>
    </row>
    <row r="28" spans="1:20" x14ac:dyDescent="0.25">
      <c r="A28" s="20"/>
      <c r="B28" s="18"/>
      <c r="C28" s="18"/>
      <c r="D28" s="18"/>
      <c r="E28" s="18"/>
      <c r="F28" s="18"/>
      <c r="G28" s="18"/>
      <c r="H28" s="18"/>
      <c r="I28" s="18"/>
      <c r="J28" s="18"/>
      <c r="K28" s="18"/>
      <c r="L28" s="18"/>
      <c r="M28" s="18"/>
      <c r="N28" s="18"/>
      <c r="O28" s="18"/>
      <c r="P28" s="18"/>
      <c r="Q28" s="18"/>
      <c r="R28" s="18"/>
      <c r="S28" s="18"/>
      <c r="T28" s="19"/>
    </row>
    <row r="29" spans="1:20" ht="15.75" thickBot="1" x14ac:dyDescent="0.3">
      <c r="A29" s="21"/>
      <c r="B29" s="22"/>
      <c r="C29" s="22"/>
      <c r="D29" s="22"/>
      <c r="E29" s="22"/>
      <c r="F29" s="22"/>
      <c r="G29" s="22"/>
      <c r="H29" s="22"/>
      <c r="I29" s="22"/>
      <c r="J29" s="22"/>
      <c r="K29" s="22"/>
      <c r="L29" s="22"/>
      <c r="M29" s="22"/>
      <c r="N29" s="22"/>
      <c r="O29" s="22"/>
      <c r="P29" s="22"/>
      <c r="Q29" s="22"/>
      <c r="R29" s="22"/>
      <c r="S29" s="22"/>
      <c r="T29" s="23"/>
    </row>
  </sheetData>
  <mergeCells count="1">
    <mergeCell ref="A1:E3"/>
  </mergeCells>
  <pageMargins left="0.7" right="0.7" top="0.75" bottom="0.75" header="0.3" footer="0.3"/>
  <pageSetup paperSize="9" orientation="portrait" verticalDpi="0" r:id="rId1"/>
  <headerFooter scaleWithDoc="0" alignWithMargins="0"/>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workbookViewId="0">
      <selection activeCell="I18" sqref="I18"/>
    </sheetView>
  </sheetViews>
  <sheetFormatPr defaultRowHeight="15" x14ac:dyDescent="0.25"/>
  <cols>
    <col min="1" max="1" width="11.140625" customWidth="1"/>
    <col min="2" max="2" width="13.42578125" style="9" customWidth="1"/>
    <col min="3" max="3" width="9.28515625" customWidth="1"/>
    <col min="4" max="4" width="10" customWidth="1"/>
    <col min="5" max="5" width="10.42578125" customWidth="1"/>
    <col min="6" max="6" width="10.85546875" customWidth="1"/>
    <col min="7" max="7" width="10.85546875" style="3" customWidth="1"/>
    <col min="11" max="11" width="9.140625" style="3"/>
  </cols>
  <sheetData>
    <row r="1" spans="1:16" x14ac:dyDescent="0.25">
      <c r="A1" s="1" t="s">
        <v>0</v>
      </c>
      <c r="B1" s="8" t="s">
        <v>1</v>
      </c>
      <c r="C1" s="1" t="s">
        <v>2</v>
      </c>
      <c r="D1" s="1" t="s">
        <v>3</v>
      </c>
      <c r="E1" s="1" t="s">
        <v>4</v>
      </c>
      <c r="F1" s="1" t="s">
        <v>5</v>
      </c>
      <c r="G1" s="1" t="s">
        <v>6</v>
      </c>
      <c r="H1" s="2" t="s">
        <v>7</v>
      </c>
      <c r="I1" s="1" t="s">
        <v>8</v>
      </c>
      <c r="J1" s="1" t="s">
        <v>9</v>
      </c>
      <c r="K1" s="1" t="s">
        <v>10</v>
      </c>
      <c r="L1" s="2" t="s">
        <v>98</v>
      </c>
      <c r="M1" s="1" t="s">
        <v>11</v>
      </c>
    </row>
    <row r="2" spans="1:16" x14ac:dyDescent="0.25">
      <c r="A2">
        <v>1</v>
      </c>
      <c r="B2" s="9" t="s">
        <v>102</v>
      </c>
      <c r="C2" t="s">
        <v>32</v>
      </c>
      <c r="D2" t="s">
        <v>69</v>
      </c>
      <c r="E2" t="s">
        <v>75</v>
      </c>
      <c r="F2" t="s">
        <v>82</v>
      </c>
      <c r="G2">
        <v>1</v>
      </c>
      <c r="H2" s="3">
        <v>0</v>
      </c>
      <c r="I2">
        <v>45000</v>
      </c>
      <c r="J2">
        <v>35817</v>
      </c>
      <c r="K2">
        <v>9183</v>
      </c>
      <c r="L2" s="3">
        <f>data[[#This Row],[Profit]]/data[[#This Row],[Sales]]</f>
        <v>0.20406666666666667</v>
      </c>
      <c r="M2" t="s">
        <v>85</v>
      </c>
      <c r="P2">
        <f>data[[#This Row],[Sales]]-data[[#This Row],[Cost]]</f>
        <v>9183</v>
      </c>
    </row>
    <row r="3" spans="1:16" x14ac:dyDescent="0.25">
      <c r="A3">
        <v>2</v>
      </c>
      <c r="B3" s="9" t="s">
        <v>103</v>
      </c>
      <c r="C3" t="s">
        <v>33</v>
      </c>
      <c r="D3" t="s">
        <v>70</v>
      </c>
      <c r="E3" t="s">
        <v>76</v>
      </c>
      <c r="F3" t="s">
        <v>82</v>
      </c>
      <c r="G3">
        <v>1</v>
      </c>
      <c r="H3" s="3">
        <v>0</v>
      </c>
      <c r="I3">
        <v>120000</v>
      </c>
      <c r="J3">
        <v>90167</v>
      </c>
      <c r="K3">
        <v>29833</v>
      </c>
      <c r="L3" s="3">
        <f>data[[#This Row],[Profit]]/data[[#This Row],[Sales]]</f>
        <v>0.24860833333333332</v>
      </c>
      <c r="M3" t="s">
        <v>85</v>
      </c>
    </row>
    <row r="4" spans="1:16" x14ac:dyDescent="0.25">
      <c r="A4">
        <v>3</v>
      </c>
      <c r="B4" s="9" t="s">
        <v>104</v>
      </c>
      <c r="C4" t="s">
        <v>34</v>
      </c>
      <c r="D4" t="s">
        <v>70</v>
      </c>
      <c r="E4" t="s">
        <v>77</v>
      </c>
      <c r="F4" t="s">
        <v>83</v>
      </c>
      <c r="G4">
        <v>1</v>
      </c>
      <c r="H4" s="3">
        <v>0</v>
      </c>
      <c r="I4">
        <v>70000</v>
      </c>
      <c r="J4">
        <v>57210</v>
      </c>
      <c r="K4">
        <v>12790</v>
      </c>
      <c r="L4" s="3">
        <f>data[[#This Row],[Profit]]/data[[#This Row],[Sales]]</f>
        <v>0.18271428571428572</v>
      </c>
      <c r="M4" t="s">
        <v>86</v>
      </c>
    </row>
    <row r="5" spans="1:16" x14ac:dyDescent="0.25">
      <c r="A5">
        <v>4</v>
      </c>
      <c r="B5" s="9" t="s">
        <v>105</v>
      </c>
      <c r="C5" t="s">
        <v>35</v>
      </c>
      <c r="D5" t="s">
        <v>71</v>
      </c>
      <c r="E5" t="s">
        <v>75</v>
      </c>
      <c r="F5" t="s">
        <v>82</v>
      </c>
      <c r="G5">
        <v>4</v>
      </c>
      <c r="H5" s="3">
        <v>0.05</v>
      </c>
      <c r="I5">
        <v>171000</v>
      </c>
      <c r="J5">
        <v>110564</v>
      </c>
      <c r="K5">
        <v>60436</v>
      </c>
      <c r="L5" s="3">
        <f>data[[#This Row],[Profit]]/data[[#This Row],[Sales]]</f>
        <v>0.35342690058479531</v>
      </c>
      <c r="M5" t="s">
        <v>85</v>
      </c>
    </row>
    <row r="6" spans="1:16" x14ac:dyDescent="0.25">
      <c r="A6">
        <v>5</v>
      </c>
      <c r="B6" s="9" t="s">
        <v>105</v>
      </c>
      <c r="C6" t="s">
        <v>36</v>
      </c>
      <c r="D6" t="s">
        <v>71</v>
      </c>
      <c r="E6" t="s">
        <v>78</v>
      </c>
      <c r="F6" t="s">
        <v>83</v>
      </c>
      <c r="G6">
        <v>3</v>
      </c>
      <c r="H6" s="3">
        <v>0.1</v>
      </c>
      <c r="I6">
        <v>21600</v>
      </c>
      <c r="J6">
        <v>16403</v>
      </c>
      <c r="K6">
        <v>5197</v>
      </c>
      <c r="L6" s="3">
        <f>data[[#This Row],[Profit]]/data[[#This Row],[Sales]]</f>
        <v>0.24060185185185184</v>
      </c>
      <c r="M6" t="s">
        <v>85</v>
      </c>
    </row>
    <row r="7" spans="1:16" x14ac:dyDescent="0.25">
      <c r="A7">
        <v>6</v>
      </c>
      <c r="B7" s="9" t="s">
        <v>106</v>
      </c>
      <c r="C7" t="s">
        <v>37</v>
      </c>
      <c r="D7" t="s">
        <v>71</v>
      </c>
      <c r="E7" t="s">
        <v>78</v>
      </c>
      <c r="F7" t="s">
        <v>83</v>
      </c>
      <c r="G7">
        <v>1</v>
      </c>
      <c r="H7" s="3">
        <v>0</v>
      </c>
      <c r="I7">
        <v>8000</v>
      </c>
      <c r="J7">
        <v>5055</v>
      </c>
      <c r="K7">
        <v>2945</v>
      </c>
      <c r="L7" s="3">
        <f>data[[#This Row],[Profit]]/data[[#This Row],[Sales]]</f>
        <v>0.36812499999999998</v>
      </c>
      <c r="M7" t="s">
        <v>86</v>
      </c>
    </row>
    <row r="8" spans="1:16" x14ac:dyDescent="0.25">
      <c r="A8">
        <v>7</v>
      </c>
      <c r="B8" s="9" t="s">
        <v>107</v>
      </c>
      <c r="C8" t="s">
        <v>38</v>
      </c>
      <c r="D8" t="s">
        <v>69</v>
      </c>
      <c r="E8" t="s">
        <v>77</v>
      </c>
      <c r="F8" t="s">
        <v>82</v>
      </c>
      <c r="G8">
        <v>1</v>
      </c>
      <c r="H8" s="3">
        <v>0.1</v>
      </c>
      <c r="I8">
        <v>63000</v>
      </c>
      <c r="J8">
        <v>49473</v>
      </c>
      <c r="K8">
        <v>13527</v>
      </c>
      <c r="L8" s="3">
        <f>data[[#This Row],[Profit]]/data[[#This Row],[Sales]]</f>
        <v>0.21471428571428572</v>
      </c>
      <c r="M8" t="s">
        <v>87</v>
      </c>
    </row>
    <row r="9" spans="1:16" x14ac:dyDescent="0.25">
      <c r="A9">
        <v>8</v>
      </c>
      <c r="B9" s="9" t="s">
        <v>104</v>
      </c>
      <c r="C9" t="s">
        <v>39</v>
      </c>
      <c r="D9" t="s">
        <v>72</v>
      </c>
      <c r="E9" t="s">
        <v>77</v>
      </c>
      <c r="F9" t="s">
        <v>84</v>
      </c>
      <c r="G9">
        <v>3</v>
      </c>
      <c r="H9" s="3">
        <v>0</v>
      </c>
      <c r="I9">
        <v>210000</v>
      </c>
      <c r="J9">
        <v>163459</v>
      </c>
      <c r="K9">
        <v>46541</v>
      </c>
      <c r="L9" s="3">
        <f>data[[#This Row],[Profit]]/data[[#This Row],[Sales]]</f>
        <v>0.22162380952380953</v>
      </c>
      <c r="M9" t="s">
        <v>85</v>
      </c>
    </row>
    <row r="10" spans="1:16" x14ac:dyDescent="0.25">
      <c r="A10">
        <v>9</v>
      </c>
      <c r="B10" s="9" t="s">
        <v>107</v>
      </c>
      <c r="C10" t="s">
        <v>40</v>
      </c>
      <c r="D10" t="s">
        <v>73</v>
      </c>
      <c r="E10" t="s">
        <v>79</v>
      </c>
      <c r="F10" t="s">
        <v>83</v>
      </c>
      <c r="G10">
        <v>3</v>
      </c>
      <c r="H10" s="3">
        <v>0.15</v>
      </c>
      <c r="I10">
        <v>89250</v>
      </c>
      <c r="J10">
        <v>60431</v>
      </c>
      <c r="K10">
        <v>28819</v>
      </c>
      <c r="L10" s="3">
        <f>data[[#This Row],[Profit]]/data[[#This Row],[Sales]]</f>
        <v>0.32290196078431371</v>
      </c>
      <c r="M10" t="s">
        <v>85</v>
      </c>
    </row>
    <row r="11" spans="1:16" x14ac:dyDescent="0.25">
      <c r="A11">
        <v>10</v>
      </c>
      <c r="B11" s="9" t="s">
        <v>107</v>
      </c>
      <c r="C11" t="s">
        <v>41</v>
      </c>
      <c r="D11" t="s">
        <v>73</v>
      </c>
      <c r="E11" t="s">
        <v>76</v>
      </c>
      <c r="F11" t="s">
        <v>83</v>
      </c>
      <c r="G11">
        <v>1</v>
      </c>
      <c r="H11" s="3">
        <v>0</v>
      </c>
      <c r="I11">
        <v>120000</v>
      </c>
      <c r="J11">
        <v>80983</v>
      </c>
      <c r="K11">
        <v>39017</v>
      </c>
      <c r="L11" s="3">
        <f>data[[#This Row],[Profit]]/data[[#This Row],[Sales]]</f>
        <v>0.32514166666666666</v>
      </c>
      <c r="M11" t="s">
        <v>87</v>
      </c>
    </row>
    <row r="12" spans="1:16" x14ac:dyDescent="0.25">
      <c r="A12">
        <v>11</v>
      </c>
      <c r="B12" s="9" t="s">
        <v>102</v>
      </c>
      <c r="C12" t="s">
        <v>42</v>
      </c>
      <c r="D12" t="s">
        <v>70</v>
      </c>
      <c r="E12" t="s">
        <v>79</v>
      </c>
      <c r="F12" t="s">
        <v>82</v>
      </c>
      <c r="G12">
        <v>1</v>
      </c>
      <c r="H12" s="3">
        <v>0</v>
      </c>
      <c r="I12">
        <v>35000</v>
      </c>
      <c r="J12">
        <v>28479</v>
      </c>
      <c r="K12">
        <v>6521</v>
      </c>
      <c r="L12" s="3">
        <f>data[[#This Row],[Profit]]/data[[#This Row],[Sales]]</f>
        <v>0.18631428571428571</v>
      </c>
      <c r="M12" t="s">
        <v>85</v>
      </c>
    </row>
    <row r="13" spans="1:16" x14ac:dyDescent="0.25">
      <c r="A13">
        <v>12</v>
      </c>
      <c r="B13" s="9" t="s">
        <v>108</v>
      </c>
      <c r="C13" t="s">
        <v>33</v>
      </c>
      <c r="D13" t="s">
        <v>70</v>
      </c>
      <c r="E13" t="s">
        <v>78</v>
      </c>
      <c r="F13" t="s">
        <v>83</v>
      </c>
      <c r="G13">
        <v>1</v>
      </c>
      <c r="H13" s="3">
        <v>0</v>
      </c>
      <c r="I13">
        <v>8000</v>
      </c>
      <c r="J13">
        <v>6020</v>
      </c>
      <c r="K13">
        <v>1980</v>
      </c>
      <c r="L13" s="3">
        <f>data[[#This Row],[Profit]]/data[[#This Row],[Sales]]</f>
        <v>0.2475</v>
      </c>
      <c r="M13" t="s">
        <v>85</v>
      </c>
    </row>
    <row r="14" spans="1:16" x14ac:dyDescent="0.25">
      <c r="A14">
        <v>13</v>
      </c>
      <c r="B14" s="7" t="s">
        <v>103</v>
      </c>
      <c r="C14" t="s">
        <v>41</v>
      </c>
      <c r="D14" t="s">
        <v>69</v>
      </c>
      <c r="E14" t="s">
        <v>77</v>
      </c>
      <c r="F14" t="s">
        <v>84</v>
      </c>
      <c r="G14">
        <v>4</v>
      </c>
      <c r="H14" s="3">
        <v>0.1</v>
      </c>
      <c r="I14">
        <v>252000</v>
      </c>
      <c r="J14">
        <v>195317</v>
      </c>
      <c r="K14">
        <v>56683</v>
      </c>
      <c r="L14" s="3">
        <f>data[[#This Row],[Profit]]/data[[#This Row],[Sales]]</f>
        <v>0.22493253968253968</v>
      </c>
      <c r="M14" t="s">
        <v>85</v>
      </c>
    </row>
    <row r="15" spans="1:16" x14ac:dyDescent="0.25">
      <c r="A15">
        <v>14</v>
      </c>
      <c r="B15" s="9" t="s">
        <v>108</v>
      </c>
      <c r="C15" t="s">
        <v>43</v>
      </c>
      <c r="D15" t="s">
        <v>70</v>
      </c>
      <c r="E15" t="s">
        <v>78</v>
      </c>
      <c r="F15" t="s">
        <v>83</v>
      </c>
      <c r="G15">
        <v>4</v>
      </c>
      <c r="H15" s="3">
        <v>0</v>
      </c>
      <c r="I15">
        <v>32000</v>
      </c>
      <c r="J15">
        <v>25500</v>
      </c>
      <c r="K15">
        <v>6500</v>
      </c>
      <c r="L15" s="3">
        <f>data[[#This Row],[Profit]]/data[[#This Row],[Sales]]</f>
        <v>0.203125</v>
      </c>
      <c r="M15" t="s">
        <v>86</v>
      </c>
    </row>
    <row r="16" spans="1:16" x14ac:dyDescent="0.25">
      <c r="A16">
        <v>15</v>
      </c>
      <c r="B16" s="9" t="s">
        <v>109</v>
      </c>
      <c r="C16" t="s">
        <v>44</v>
      </c>
      <c r="D16" t="s">
        <v>71</v>
      </c>
      <c r="E16" t="s">
        <v>75</v>
      </c>
      <c r="F16" t="s">
        <v>82</v>
      </c>
      <c r="G16">
        <v>2</v>
      </c>
      <c r="H16" s="3">
        <v>0</v>
      </c>
      <c r="I16">
        <v>90000</v>
      </c>
      <c r="J16">
        <v>66417</v>
      </c>
      <c r="K16">
        <v>23583</v>
      </c>
      <c r="L16" s="3">
        <f>data[[#This Row],[Profit]]/data[[#This Row],[Sales]]</f>
        <v>0.26203333333333334</v>
      </c>
      <c r="M16" t="s">
        <v>85</v>
      </c>
    </row>
    <row r="17" spans="1:13" x14ac:dyDescent="0.25">
      <c r="A17">
        <v>16</v>
      </c>
      <c r="B17" s="9" t="s">
        <v>104</v>
      </c>
      <c r="C17" t="s">
        <v>45</v>
      </c>
      <c r="D17" t="s">
        <v>69</v>
      </c>
      <c r="E17" t="s">
        <v>75</v>
      </c>
      <c r="F17" t="s">
        <v>84</v>
      </c>
      <c r="G17">
        <v>2</v>
      </c>
      <c r="H17" s="3">
        <v>0</v>
      </c>
      <c r="I17">
        <v>90000</v>
      </c>
      <c r="J17">
        <v>59376</v>
      </c>
      <c r="K17">
        <v>30624</v>
      </c>
      <c r="L17" s="3">
        <f>data[[#This Row],[Profit]]/data[[#This Row],[Sales]]</f>
        <v>0.34026666666666666</v>
      </c>
      <c r="M17" t="s">
        <v>86</v>
      </c>
    </row>
    <row r="18" spans="1:13" x14ac:dyDescent="0.25">
      <c r="A18">
        <v>17</v>
      </c>
      <c r="B18" s="9" t="s">
        <v>109</v>
      </c>
      <c r="C18" t="s">
        <v>46</v>
      </c>
      <c r="D18" t="s">
        <v>69</v>
      </c>
      <c r="E18" t="s">
        <v>78</v>
      </c>
      <c r="F18" t="s">
        <v>83</v>
      </c>
      <c r="G18">
        <v>1</v>
      </c>
      <c r="H18" s="3">
        <v>0</v>
      </c>
      <c r="I18">
        <v>8000</v>
      </c>
      <c r="J18">
        <v>6893</v>
      </c>
      <c r="K18">
        <v>1107</v>
      </c>
      <c r="L18" s="3">
        <f>data[[#This Row],[Profit]]/data[[#This Row],[Sales]]</f>
        <v>0.138375</v>
      </c>
      <c r="M18" t="s">
        <v>87</v>
      </c>
    </row>
    <row r="19" spans="1:13" x14ac:dyDescent="0.25">
      <c r="A19">
        <v>18</v>
      </c>
      <c r="B19" s="9" t="s">
        <v>102</v>
      </c>
      <c r="C19" t="s">
        <v>41</v>
      </c>
      <c r="D19" t="s">
        <v>73</v>
      </c>
      <c r="E19" t="s">
        <v>78</v>
      </c>
      <c r="F19" t="s">
        <v>82</v>
      </c>
      <c r="G19">
        <v>3</v>
      </c>
      <c r="H19" s="3">
        <v>0.1</v>
      </c>
      <c r="I19">
        <v>21600</v>
      </c>
      <c r="J19">
        <v>17975</v>
      </c>
      <c r="K19">
        <v>3625</v>
      </c>
      <c r="L19" s="3">
        <f>data[[#This Row],[Profit]]/data[[#This Row],[Sales]]</f>
        <v>0.16782407407407407</v>
      </c>
      <c r="M19" t="s">
        <v>85</v>
      </c>
    </row>
    <row r="20" spans="1:13" x14ac:dyDescent="0.25">
      <c r="A20">
        <v>19</v>
      </c>
      <c r="B20" s="9" t="s">
        <v>105</v>
      </c>
      <c r="C20" t="s">
        <v>47</v>
      </c>
      <c r="D20" t="s">
        <v>74</v>
      </c>
      <c r="E20" t="s">
        <v>79</v>
      </c>
      <c r="F20" t="s">
        <v>84</v>
      </c>
      <c r="G20">
        <v>1</v>
      </c>
      <c r="H20" s="3">
        <v>0.15</v>
      </c>
      <c r="I20">
        <v>29750</v>
      </c>
      <c r="J20">
        <v>25193</v>
      </c>
      <c r="K20">
        <v>4557</v>
      </c>
      <c r="L20" s="3">
        <f>data[[#This Row],[Profit]]/data[[#This Row],[Sales]]</f>
        <v>0.1531764705882353</v>
      </c>
      <c r="M20" t="s">
        <v>85</v>
      </c>
    </row>
    <row r="21" spans="1:13" x14ac:dyDescent="0.25">
      <c r="A21">
        <v>20</v>
      </c>
      <c r="B21" s="9" t="s">
        <v>106</v>
      </c>
      <c r="C21" t="s">
        <v>44</v>
      </c>
      <c r="D21" t="s">
        <v>73</v>
      </c>
      <c r="E21" t="s">
        <v>75</v>
      </c>
      <c r="F21" t="s">
        <v>83</v>
      </c>
      <c r="G21">
        <v>2</v>
      </c>
      <c r="H21" s="3">
        <v>0.15</v>
      </c>
      <c r="I21">
        <v>76500</v>
      </c>
      <c r="J21">
        <v>56410</v>
      </c>
      <c r="K21">
        <v>20090</v>
      </c>
      <c r="L21" s="3">
        <f>data[[#This Row],[Profit]]/data[[#This Row],[Sales]]</f>
        <v>0.26261437908496732</v>
      </c>
      <c r="M21" t="s">
        <v>85</v>
      </c>
    </row>
    <row r="22" spans="1:13" x14ac:dyDescent="0.25">
      <c r="A22">
        <v>21</v>
      </c>
      <c r="B22" s="9" t="s">
        <v>108</v>
      </c>
      <c r="C22" t="s">
        <v>48</v>
      </c>
      <c r="D22" t="s">
        <v>71</v>
      </c>
      <c r="E22" t="s">
        <v>76</v>
      </c>
      <c r="F22" t="s">
        <v>84</v>
      </c>
      <c r="G22">
        <v>1</v>
      </c>
      <c r="H22" s="3">
        <v>0.15</v>
      </c>
      <c r="I22">
        <v>102000</v>
      </c>
      <c r="J22">
        <v>69080</v>
      </c>
      <c r="K22">
        <v>32920</v>
      </c>
      <c r="L22" s="3">
        <f>data[[#This Row],[Profit]]/data[[#This Row],[Sales]]</f>
        <v>0.32274509803921569</v>
      </c>
      <c r="M22" t="s">
        <v>86</v>
      </c>
    </row>
    <row r="23" spans="1:13" x14ac:dyDescent="0.25">
      <c r="A23">
        <v>22</v>
      </c>
      <c r="B23" s="9" t="s">
        <v>110</v>
      </c>
      <c r="C23" t="s">
        <v>41</v>
      </c>
      <c r="D23" t="s">
        <v>73</v>
      </c>
      <c r="E23" t="s">
        <v>76</v>
      </c>
      <c r="F23" t="s">
        <v>82</v>
      </c>
      <c r="G23">
        <v>1</v>
      </c>
      <c r="H23" s="3">
        <v>0.15</v>
      </c>
      <c r="I23">
        <v>102000</v>
      </c>
      <c r="J23">
        <v>69552</v>
      </c>
      <c r="K23">
        <v>32448</v>
      </c>
      <c r="L23" s="3">
        <f>data[[#This Row],[Profit]]/data[[#This Row],[Sales]]</f>
        <v>0.31811764705882351</v>
      </c>
      <c r="M23" t="s">
        <v>85</v>
      </c>
    </row>
    <row r="24" spans="1:13" x14ac:dyDescent="0.25">
      <c r="A24">
        <v>23</v>
      </c>
      <c r="B24" s="9" t="s">
        <v>106</v>
      </c>
      <c r="C24" t="s">
        <v>44</v>
      </c>
      <c r="D24" t="s">
        <v>73</v>
      </c>
      <c r="E24" t="s">
        <v>78</v>
      </c>
      <c r="F24" t="s">
        <v>84</v>
      </c>
      <c r="G24">
        <v>1</v>
      </c>
      <c r="H24" s="3">
        <v>0.1</v>
      </c>
      <c r="I24">
        <v>7200</v>
      </c>
      <c r="J24">
        <v>5976</v>
      </c>
      <c r="K24">
        <v>1224</v>
      </c>
      <c r="L24" s="3">
        <f>data[[#This Row],[Profit]]/data[[#This Row],[Sales]]</f>
        <v>0.17</v>
      </c>
      <c r="M24" t="s">
        <v>87</v>
      </c>
    </row>
    <row r="25" spans="1:13" x14ac:dyDescent="0.25">
      <c r="A25">
        <v>24</v>
      </c>
      <c r="B25" s="9" t="s">
        <v>108</v>
      </c>
      <c r="C25" t="s">
        <v>49</v>
      </c>
      <c r="D25" t="s">
        <v>70</v>
      </c>
      <c r="E25" t="s">
        <v>75</v>
      </c>
      <c r="F25" t="s">
        <v>83</v>
      </c>
      <c r="G25">
        <v>2</v>
      </c>
      <c r="H25" s="3">
        <v>0</v>
      </c>
      <c r="I25">
        <v>90000</v>
      </c>
      <c r="J25">
        <v>71557</v>
      </c>
      <c r="K25">
        <v>18443</v>
      </c>
      <c r="L25" s="3">
        <f>data[[#This Row],[Profit]]/data[[#This Row],[Sales]]</f>
        <v>0.20492222222222223</v>
      </c>
      <c r="M25" t="s">
        <v>87</v>
      </c>
    </row>
    <row r="26" spans="1:13" x14ac:dyDescent="0.25">
      <c r="A26">
        <v>25</v>
      </c>
      <c r="B26" s="9" t="s">
        <v>105</v>
      </c>
      <c r="C26" t="s">
        <v>50</v>
      </c>
      <c r="D26" t="s">
        <v>71</v>
      </c>
      <c r="E26" t="s">
        <v>76</v>
      </c>
      <c r="F26" t="s">
        <v>82</v>
      </c>
      <c r="G26">
        <v>1</v>
      </c>
      <c r="H26" s="3">
        <v>0.15</v>
      </c>
      <c r="I26">
        <v>102000</v>
      </c>
      <c r="J26">
        <v>75137</v>
      </c>
      <c r="K26">
        <v>26863</v>
      </c>
      <c r="L26" s="3">
        <f>data[[#This Row],[Profit]]/data[[#This Row],[Sales]]</f>
        <v>0.2633627450980392</v>
      </c>
      <c r="M26" t="s">
        <v>85</v>
      </c>
    </row>
    <row r="27" spans="1:13" x14ac:dyDescent="0.25">
      <c r="A27">
        <v>26</v>
      </c>
      <c r="B27" s="9" t="s">
        <v>102</v>
      </c>
      <c r="C27" t="s">
        <v>51</v>
      </c>
      <c r="D27" t="s">
        <v>70</v>
      </c>
      <c r="E27" t="s">
        <v>80</v>
      </c>
      <c r="F27" t="s">
        <v>82</v>
      </c>
      <c r="G27">
        <v>4</v>
      </c>
      <c r="H27" s="3">
        <v>0.15</v>
      </c>
      <c r="I27">
        <v>238000</v>
      </c>
      <c r="J27">
        <v>153619</v>
      </c>
      <c r="K27">
        <v>84381</v>
      </c>
      <c r="L27" s="3">
        <f>data[[#This Row],[Profit]]/data[[#This Row],[Sales]]</f>
        <v>0.3545420168067227</v>
      </c>
      <c r="M27" t="s">
        <v>87</v>
      </c>
    </row>
    <row r="28" spans="1:13" x14ac:dyDescent="0.25">
      <c r="A28">
        <v>27</v>
      </c>
      <c r="B28" s="9" t="s">
        <v>105</v>
      </c>
      <c r="C28" t="s">
        <v>52</v>
      </c>
      <c r="D28" t="s">
        <v>69</v>
      </c>
      <c r="E28" t="s">
        <v>77</v>
      </c>
      <c r="F28" t="s">
        <v>82</v>
      </c>
      <c r="G28">
        <v>2</v>
      </c>
      <c r="H28" s="3">
        <v>0.1</v>
      </c>
      <c r="I28">
        <v>126000</v>
      </c>
      <c r="J28">
        <v>85122</v>
      </c>
      <c r="K28">
        <v>40878</v>
      </c>
      <c r="L28" s="3">
        <f>data[[#This Row],[Profit]]/data[[#This Row],[Sales]]</f>
        <v>0.32442857142857146</v>
      </c>
      <c r="M28" t="s">
        <v>87</v>
      </c>
    </row>
    <row r="29" spans="1:13" x14ac:dyDescent="0.25">
      <c r="A29">
        <v>28</v>
      </c>
      <c r="B29" s="9" t="s">
        <v>102</v>
      </c>
      <c r="C29" t="s">
        <v>53</v>
      </c>
      <c r="D29" t="s">
        <v>70</v>
      </c>
      <c r="E29" t="s">
        <v>76</v>
      </c>
      <c r="F29" t="s">
        <v>83</v>
      </c>
      <c r="G29">
        <v>4</v>
      </c>
      <c r="H29" s="3">
        <v>0.1</v>
      </c>
      <c r="I29">
        <v>432000</v>
      </c>
      <c r="J29">
        <v>299879</v>
      </c>
      <c r="K29">
        <v>132121</v>
      </c>
      <c r="L29" s="3">
        <f>data[[#This Row],[Profit]]/data[[#This Row],[Sales]]</f>
        <v>0.30583564814814812</v>
      </c>
      <c r="M29" t="s">
        <v>85</v>
      </c>
    </row>
    <row r="30" spans="1:13" x14ac:dyDescent="0.25">
      <c r="A30">
        <v>29</v>
      </c>
      <c r="B30" s="9" t="s">
        <v>103</v>
      </c>
      <c r="C30" t="s">
        <v>42</v>
      </c>
      <c r="D30" t="s">
        <v>73</v>
      </c>
      <c r="E30" t="s">
        <v>77</v>
      </c>
      <c r="F30" t="s">
        <v>83</v>
      </c>
      <c r="G30">
        <v>1</v>
      </c>
      <c r="H30" s="3">
        <v>0.15</v>
      </c>
      <c r="I30">
        <v>59500</v>
      </c>
      <c r="J30">
        <v>48272</v>
      </c>
      <c r="K30">
        <v>11228</v>
      </c>
      <c r="L30" s="3">
        <f>data[[#This Row],[Profit]]/data[[#This Row],[Sales]]</f>
        <v>0.18870588235294117</v>
      </c>
      <c r="M30" t="s">
        <v>85</v>
      </c>
    </row>
    <row r="31" spans="1:13" x14ac:dyDescent="0.25">
      <c r="A31">
        <v>30</v>
      </c>
      <c r="B31" s="9" t="s">
        <v>102</v>
      </c>
      <c r="C31" t="s">
        <v>54</v>
      </c>
      <c r="D31" t="s">
        <v>69</v>
      </c>
      <c r="E31" t="s">
        <v>76</v>
      </c>
      <c r="F31" t="s">
        <v>84</v>
      </c>
      <c r="G31">
        <v>2</v>
      </c>
      <c r="H31" s="3">
        <v>0.15</v>
      </c>
      <c r="I31">
        <v>204000</v>
      </c>
      <c r="J31">
        <v>134830</v>
      </c>
      <c r="K31">
        <v>69170</v>
      </c>
      <c r="L31" s="3">
        <f>data[[#This Row],[Profit]]/data[[#This Row],[Sales]]</f>
        <v>0.33906862745098038</v>
      </c>
      <c r="M31" t="s">
        <v>87</v>
      </c>
    </row>
    <row r="32" spans="1:13" x14ac:dyDescent="0.25">
      <c r="A32">
        <v>31</v>
      </c>
      <c r="B32" s="9" t="s">
        <v>106</v>
      </c>
      <c r="C32" t="s">
        <v>45</v>
      </c>
      <c r="D32" t="s">
        <v>69</v>
      </c>
      <c r="E32" t="s">
        <v>78</v>
      </c>
      <c r="F32" t="s">
        <v>82</v>
      </c>
      <c r="G32">
        <v>2</v>
      </c>
      <c r="H32" s="3">
        <v>0</v>
      </c>
      <c r="I32">
        <v>16000</v>
      </c>
      <c r="J32">
        <v>13837</v>
      </c>
      <c r="K32">
        <v>2163</v>
      </c>
      <c r="L32" s="3">
        <f>data[[#This Row],[Profit]]/data[[#This Row],[Sales]]</f>
        <v>0.13518749999999999</v>
      </c>
      <c r="M32" t="s">
        <v>85</v>
      </c>
    </row>
    <row r="33" spans="1:13" x14ac:dyDescent="0.25">
      <c r="A33">
        <v>32</v>
      </c>
      <c r="B33" s="9" t="s">
        <v>107</v>
      </c>
      <c r="C33" t="s">
        <v>43</v>
      </c>
      <c r="D33" t="s">
        <v>69</v>
      </c>
      <c r="E33" t="s">
        <v>78</v>
      </c>
      <c r="F33" t="s">
        <v>82</v>
      </c>
      <c r="G33">
        <v>3</v>
      </c>
      <c r="H33" s="3">
        <v>0.15</v>
      </c>
      <c r="I33">
        <v>20400</v>
      </c>
      <c r="J33">
        <v>15646</v>
      </c>
      <c r="K33">
        <v>4754</v>
      </c>
      <c r="L33" s="3">
        <f>data[[#This Row],[Profit]]/data[[#This Row],[Sales]]</f>
        <v>0.2330392156862745</v>
      </c>
      <c r="M33" t="s">
        <v>87</v>
      </c>
    </row>
    <row r="34" spans="1:13" x14ac:dyDescent="0.25">
      <c r="A34">
        <v>33</v>
      </c>
      <c r="B34" s="9" t="s">
        <v>108</v>
      </c>
      <c r="C34" t="s">
        <v>55</v>
      </c>
      <c r="D34" t="s">
        <v>71</v>
      </c>
      <c r="E34" t="s">
        <v>77</v>
      </c>
      <c r="F34" t="s">
        <v>83</v>
      </c>
      <c r="G34">
        <v>1</v>
      </c>
      <c r="H34" s="3">
        <v>0.05</v>
      </c>
      <c r="I34">
        <v>66500</v>
      </c>
      <c r="J34">
        <v>49135</v>
      </c>
      <c r="K34">
        <v>17365</v>
      </c>
      <c r="L34" s="3">
        <f>data[[#This Row],[Profit]]/data[[#This Row],[Sales]]</f>
        <v>0.26112781954887215</v>
      </c>
      <c r="M34" t="s">
        <v>87</v>
      </c>
    </row>
    <row r="35" spans="1:13" x14ac:dyDescent="0.25">
      <c r="A35">
        <v>34</v>
      </c>
      <c r="B35" s="9" t="s">
        <v>107</v>
      </c>
      <c r="C35" t="s">
        <v>56</v>
      </c>
      <c r="D35" t="s">
        <v>69</v>
      </c>
      <c r="E35" t="s">
        <v>76</v>
      </c>
      <c r="F35" t="s">
        <v>84</v>
      </c>
      <c r="G35">
        <v>2</v>
      </c>
      <c r="H35" s="3">
        <v>0.05</v>
      </c>
      <c r="I35">
        <v>228000</v>
      </c>
      <c r="J35">
        <v>149212</v>
      </c>
      <c r="K35">
        <v>78788</v>
      </c>
      <c r="L35" s="3">
        <f>data[[#This Row],[Profit]]/data[[#This Row],[Sales]]</f>
        <v>0.3455614035087719</v>
      </c>
      <c r="M35" t="s">
        <v>85</v>
      </c>
    </row>
    <row r="36" spans="1:13" x14ac:dyDescent="0.25">
      <c r="A36">
        <v>35</v>
      </c>
      <c r="B36" s="9" t="s">
        <v>102</v>
      </c>
      <c r="C36" t="s">
        <v>40</v>
      </c>
      <c r="D36" t="s">
        <v>71</v>
      </c>
      <c r="E36" t="s">
        <v>75</v>
      </c>
      <c r="F36" t="s">
        <v>82</v>
      </c>
      <c r="G36">
        <v>4</v>
      </c>
      <c r="H36" s="3">
        <v>0.15</v>
      </c>
      <c r="I36">
        <v>153000</v>
      </c>
      <c r="J36">
        <v>122847</v>
      </c>
      <c r="K36">
        <v>30153</v>
      </c>
      <c r="L36" s="3">
        <f>data[[#This Row],[Profit]]/data[[#This Row],[Sales]]</f>
        <v>0.19707843137254902</v>
      </c>
      <c r="M36" t="s">
        <v>87</v>
      </c>
    </row>
    <row r="37" spans="1:13" x14ac:dyDescent="0.25">
      <c r="A37">
        <v>36</v>
      </c>
      <c r="B37" s="9" t="s">
        <v>104</v>
      </c>
      <c r="C37" t="s">
        <v>37</v>
      </c>
      <c r="D37" t="s">
        <v>71</v>
      </c>
      <c r="E37" t="s">
        <v>76</v>
      </c>
      <c r="F37" t="s">
        <v>82</v>
      </c>
      <c r="G37">
        <v>1</v>
      </c>
      <c r="H37" s="3">
        <v>0</v>
      </c>
      <c r="I37">
        <v>120000</v>
      </c>
      <c r="J37">
        <v>97563</v>
      </c>
      <c r="K37">
        <v>22437</v>
      </c>
      <c r="L37" s="3">
        <f>data[[#This Row],[Profit]]/data[[#This Row],[Sales]]</f>
        <v>0.186975</v>
      </c>
      <c r="M37" t="s">
        <v>85</v>
      </c>
    </row>
    <row r="38" spans="1:13" x14ac:dyDescent="0.25">
      <c r="A38">
        <v>37</v>
      </c>
      <c r="B38" s="9" t="s">
        <v>103</v>
      </c>
      <c r="C38" t="s">
        <v>38</v>
      </c>
      <c r="D38" t="s">
        <v>73</v>
      </c>
      <c r="E38" t="s">
        <v>75</v>
      </c>
      <c r="F38" t="s">
        <v>82</v>
      </c>
      <c r="G38">
        <v>2</v>
      </c>
      <c r="H38" s="3">
        <v>0.1</v>
      </c>
      <c r="I38">
        <v>81000</v>
      </c>
      <c r="J38">
        <v>55509</v>
      </c>
      <c r="K38">
        <v>25491</v>
      </c>
      <c r="L38" s="3">
        <f>data[[#This Row],[Profit]]/data[[#This Row],[Sales]]</f>
        <v>0.31470370370370371</v>
      </c>
      <c r="M38" t="s">
        <v>85</v>
      </c>
    </row>
    <row r="39" spans="1:13" x14ac:dyDescent="0.25">
      <c r="A39">
        <v>38</v>
      </c>
      <c r="B39" s="9" t="s">
        <v>109</v>
      </c>
      <c r="C39" t="s">
        <v>35</v>
      </c>
      <c r="D39" t="s">
        <v>71</v>
      </c>
      <c r="E39" t="s">
        <v>76</v>
      </c>
      <c r="F39" t="s">
        <v>82</v>
      </c>
      <c r="G39">
        <v>4</v>
      </c>
      <c r="H39" s="3">
        <v>0</v>
      </c>
      <c r="I39">
        <v>480000</v>
      </c>
      <c r="J39">
        <v>377112</v>
      </c>
      <c r="K39">
        <v>102888</v>
      </c>
      <c r="L39" s="3">
        <f>data[[#This Row],[Profit]]/data[[#This Row],[Sales]]</f>
        <v>0.21435000000000001</v>
      </c>
      <c r="M39" t="s">
        <v>85</v>
      </c>
    </row>
    <row r="40" spans="1:13" x14ac:dyDescent="0.25">
      <c r="A40">
        <v>39</v>
      </c>
      <c r="B40" s="9" t="s">
        <v>107</v>
      </c>
      <c r="C40" t="s">
        <v>57</v>
      </c>
      <c r="D40" t="s">
        <v>70</v>
      </c>
      <c r="E40" t="s">
        <v>78</v>
      </c>
      <c r="F40" t="s">
        <v>82</v>
      </c>
      <c r="G40">
        <v>1</v>
      </c>
      <c r="H40" s="3">
        <v>0</v>
      </c>
      <c r="I40">
        <v>8000</v>
      </c>
      <c r="J40">
        <v>6095</v>
      </c>
      <c r="K40">
        <v>1905</v>
      </c>
      <c r="L40" s="3">
        <f>data[[#This Row],[Profit]]/data[[#This Row],[Sales]]</f>
        <v>0.238125</v>
      </c>
      <c r="M40" t="s">
        <v>85</v>
      </c>
    </row>
    <row r="41" spans="1:13" x14ac:dyDescent="0.25">
      <c r="A41">
        <v>40</v>
      </c>
      <c r="B41" s="9" t="s">
        <v>103</v>
      </c>
      <c r="C41" t="s">
        <v>37</v>
      </c>
      <c r="D41" t="s">
        <v>73</v>
      </c>
      <c r="E41" t="s">
        <v>81</v>
      </c>
      <c r="F41" t="s">
        <v>82</v>
      </c>
      <c r="G41">
        <v>1</v>
      </c>
      <c r="H41" s="3">
        <v>0.05</v>
      </c>
      <c r="I41">
        <v>33250</v>
      </c>
      <c r="J41">
        <v>28387</v>
      </c>
      <c r="K41">
        <v>4863</v>
      </c>
      <c r="L41" s="3">
        <f>data[[#This Row],[Profit]]/data[[#This Row],[Sales]]</f>
        <v>0.14625563909774436</v>
      </c>
      <c r="M41" t="s">
        <v>85</v>
      </c>
    </row>
    <row r="42" spans="1:13" x14ac:dyDescent="0.25">
      <c r="A42">
        <v>41</v>
      </c>
      <c r="B42" s="9" t="s">
        <v>104</v>
      </c>
      <c r="C42" t="s">
        <v>55</v>
      </c>
      <c r="D42" t="s">
        <v>73</v>
      </c>
      <c r="E42" t="s">
        <v>76</v>
      </c>
      <c r="F42" t="s">
        <v>83</v>
      </c>
      <c r="G42">
        <v>4</v>
      </c>
      <c r="H42" s="3">
        <v>0.1</v>
      </c>
      <c r="I42">
        <v>432000</v>
      </c>
      <c r="J42">
        <v>377221</v>
      </c>
      <c r="K42">
        <v>54779</v>
      </c>
      <c r="L42" s="3">
        <f>data[[#This Row],[Profit]]/data[[#This Row],[Sales]]</f>
        <v>0.12680324074074073</v>
      </c>
      <c r="M42" t="s">
        <v>86</v>
      </c>
    </row>
    <row r="43" spans="1:13" x14ac:dyDescent="0.25">
      <c r="A43">
        <v>42</v>
      </c>
      <c r="B43" s="9" t="s">
        <v>105</v>
      </c>
      <c r="C43" t="s">
        <v>53</v>
      </c>
      <c r="D43" t="s">
        <v>73</v>
      </c>
      <c r="E43" t="s">
        <v>79</v>
      </c>
      <c r="F43" t="s">
        <v>82</v>
      </c>
      <c r="G43">
        <v>3</v>
      </c>
      <c r="H43" s="3">
        <v>0.05</v>
      </c>
      <c r="I43">
        <v>99750</v>
      </c>
      <c r="J43">
        <v>82136</v>
      </c>
      <c r="K43">
        <v>17614</v>
      </c>
      <c r="L43" s="3">
        <f>data[[#This Row],[Profit]]/data[[#This Row],[Sales]]</f>
        <v>0.1765814536340852</v>
      </c>
      <c r="M43" t="s">
        <v>85</v>
      </c>
    </row>
    <row r="44" spans="1:13" x14ac:dyDescent="0.25">
      <c r="A44">
        <v>43</v>
      </c>
      <c r="B44" s="9" t="s">
        <v>106</v>
      </c>
      <c r="C44" t="s">
        <v>40</v>
      </c>
      <c r="D44" t="s">
        <v>71</v>
      </c>
      <c r="E44" t="s">
        <v>77</v>
      </c>
      <c r="F44" t="s">
        <v>84</v>
      </c>
      <c r="G44">
        <v>2</v>
      </c>
      <c r="H44" s="3">
        <v>0</v>
      </c>
      <c r="I44">
        <v>140000</v>
      </c>
      <c r="J44">
        <v>118053</v>
      </c>
      <c r="K44">
        <v>21947</v>
      </c>
      <c r="L44" s="3">
        <f>data[[#This Row],[Profit]]/data[[#This Row],[Sales]]</f>
        <v>0.15676428571428572</v>
      </c>
      <c r="M44" t="s">
        <v>85</v>
      </c>
    </row>
    <row r="45" spans="1:13" x14ac:dyDescent="0.25">
      <c r="A45">
        <v>44</v>
      </c>
      <c r="B45" s="9" t="s">
        <v>109</v>
      </c>
      <c r="C45" t="s">
        <v>56</v>
      </c>
      <c r="D45" t="s">
        <v>71</v>
      </c>
      <c r="E45" t="s">
        <v>75</v>
      </c>
      <c r="F45" t="s">
        <v>82</v>
      </c>
      <c r="G45">
        <v>1</v>
      </c>
      <c r="H45" s="3">
        <v>0</v>
      </c>
      <c r="I45">
        <v>45000</v>
      </c>
      <c r="J45">
        <v>32562</v>
      </c>
      <c r="K45">
        <v>12438</v>
      </c>
      <c r="L45" s="3">
        <f>data[[#This Row],[Profit]]/data[[#This Row],[Sales]]</f>
        <v>0.27639999999999998</v>
      </c>
      <c r="M45" t="s">
        <v>85</v>
      </c>
    </row>
    <row r="46" spans="1:13" x14ac:dyDescent="0.25">
      <c r="A46">
        <v>45</v>
      </c>
      <c r="B46" s="9" t="s">
        <v>103</v>
      </c>
      <c r="C46" t="s">
        <v>48</v>
      </c>
      <c r="D46" t="s">
        <v>71</v>
      </c>
      <c r="E46" t="s">
        <v>75</v>
      </c>
      <c r="F46" t="s">
        <v>84</v>
      </c>
      <c r="G46">
        <v>2</v>
      </c>
      <c r="H46" s="3">
        <v>0.15</v>
      </c>
      <c r="I46">
        <v>76500</v>
      </c>
      <c r="J46">
        <v>54017</v>
      </c>
      <c r="K46">
        <v>22483</v>
      </c>
      <c r="L46" s="3">
        <f>data[[#This Row],[Profit]]/data[[#This Row],[Sales]]</f>
        <v>0.2938954248366013</v>
      </c>
      <c r="M46" t="s">
        <v>88</v>
      </c>
    </row>
    <row r="47" spans="1:13" x14ac:dyDescent="0.25">
      <c r="A47">
        <v>46</v>
      </c>
      <c r="B47" s="9" t="s">
        <v>107</v>
      </c>
      <c r="C47" t="s">
        <v>58</v>
      </c>
      <c r="D47" t="s">
        <v>73</v>
      </c>
      <c r="E47" t="s">
        <v>78</v>
      </c>
      <c r="F47" t="s">
        <v>83</v>
      </c>
      <c r="G47">
        <v>1</v>
      </c>
      <c r="H47" s="3">
        <v>0.15</v>
      </c>
      <c r="I47">
        <v>6800</v>
      </c>
      <c r="J47">
        <v>4984</v>
      </c>
      <c r="K47">
        <v>1816</v>
      </c>
      <c r="L47" s="3">
        <f>data[[#This Row],[Profit]]/data[[#This Row],[Sales]]</f>
        <v>0.26705882352941174</v>
      </c>
      <c r="M47" t="s">
        <v>85</v>
      </c>
    </row>
    <row r="48" spans="1:13" x14ac:dyDescent="0.25">
      <c r="A48">
        <v>47</v>
      </c>
      <c r="B48" s="9" t="s">
        <v>103</v>
      </c>
      <c r="C48" t="s">
        <v>43</v>
      </c>
      <c r="D48" t="s">
        <v>69</v>
      </c>
      <c r="E48" t="s">
        <v>79</v>
      </c>
      <c r="F48" t="s">
        <v>84</v>
      </c>
      <c r="G48">
        <v>1</v>
      </c>
      <c r="H48" s="3">
        <v>0</v>
      </c>
      <c r="I48">
        <v>35000</v>
      </c>
      <c r="J48">
        <v>28150</v>
      </c>
      <c r="K48">
        <v>6850</v>
      </c>
      <c r="L48" s="3">
        <f>data[[#This Row],[Profit]]/data[[#This Row],[Sales]]</f>
        <v>0.1957142857142857</v>
      </c>
      <c r="M48" t="s">
        <v>85</v>
      </c>
    </row>
    <row r="49" spans="1:13" x14ac:dyDescent="0.25">
      <c r="A49">
        <v>48</v>
      </c>
      <c r="B49" s="9" t="s">
        <v>108</v>
      </c>
      <c r="C49" t="s">
        <v>44</v>
      </c>
      <c r="D49" t="s">
        <v>73</v>
      </c>
      <c r="E49" t="s">
        <v>75</v>
      </c>
      <c r="F49" t="s">
        <v>83</v>
      </c>
      <c r="G49">
        <v>3</v>
      </c>
      <c r="H49" s="3">
        <v>0.05</v>
      </c>
      <c r="I49">
        <v>128250</v>
      </c>
      <c r="J49">
        <v>100294</v>
      </c>
      <c r="K49">
        <v>27956</v>
      </c>
      <c r="L49" s="3">
        <f>data[[#This Row],[Profit]]/data[[#This Row],[Sales]]</f>
        <v>0.21798050682261208</v>
      </c>
      <c r="M49" t="s">
        <v>85</v>
      </c>
    </row>
    <row r="50" spans="1:13" x14ac:dyDescent="0.25">
      <c r="A50">
        <v>49</v>
      </c>
      <c r="B50" s="9" t="s">
        <v>106</v>
      </c>
      <c r="C50" t="s">
        <v>59</v>
      </c>
      <c r="D50" t="s">
        <v>71</v>
      </c>
      <c r="E50" t="s">
        <v>79</v>
      </c>
      <c r="F50" t="s">
        <v>83</v>
      </c>
      <c r="G50">
        <v>3</v>
      </c>
      <c r="H50" s="3">
        <v>0.05</v>
      </c>
      <c r="I50">
        <v>99750</v>
      </c>
      <c r="J50">
        <v>76224</v>
      </c>
      <c r="K50">
        <v>23526</v>
      </c>
      <c r="L50" s="3">
        <f>data[[#This Row],[Profit]]/data[[#This Row],[Sales]]</f>
        <v>0.23584962406015036</v>
      </c>
      <c r="M50" t="s">
        <v>87</v>
      </c>
    </row>
    <row r="51" spans="1:13" x14ac:dyDescent="0.25">
      <c r="A51">
        <v>50</v>
      </c>
      <c r="B51" s="9" t="s">
        <v>109</v>
      </c>
      <c r="C51" t="s">
        <v>60</v>
      </c>
      <c r="D51" t="s">
        <v>73</v>
      </c>
      <c r="E51" t="s">
        <v>78</v>
      </c>
      <c r="F51" t="s">
        <v>84</v>
      </c>
      <c r="G51">
        <v>2</v>
      </c>
      <c r="H51" s="3">
        <v>0.15</v>
      </c>
      <c r="I51">
        <v>13600</v>
      </c>
      <c r="J51">
        <v>11380</v>
      </c>
      <c r="K51">
        <v>2220</v>
      </c>
      <c r="L51" s="3">
        <f>data[[#This Row],[Profit]]/data[[#This Row],[Sales]]</f>
        <v>0.16323529411764706</v>
      </c>
      <c r="M51" t="s">
        <v>85</v>
      </c>
    </row>
    <row r="52" spans="1:13" x14ac:dyDescent="0.25">
      <c r="A52">
        <v>51</v>
      </c>
      <c r="B52" s="9" t="s">
        <v>106</v>
      </c>
      <c r="C52" t="s">
        <v>55</v>
      </c>
      <c r="D52" t="s">
        <v>70</v>
      </c>
      <c r="E52" t="s">
        <v>78</v>
      </c>
      <c r="F52" t="s">
        <v>84</v>
      </c>
      <c r="G52">
        <v>2</v>
      </c>
      <c r="H52" s="3">
        <v>0.1</v>
      </c>
      <c r="I52">
        <v>14400</v>
      </c>
      <c r="J52">
        <v>10583</v>
      </c>
      <c r="K52">
        <v>3817</v>
      </c>
      <c r="L52" s="3">
        <f>data[[#This Row],[Profit]]/data[[#This Row],[Sales]]</f>
        <v>0.26506944444444447</v>
      </c>
      <c r="M52" t="s">
        <v>85</v>
      </c>
    </row>
    <row r="53" spans="1:13" x14ac:dyDescent="0.25">
      <c r="A53">
        <v>52</v>
      </c>
      <c r="B53" s="9" t="s">
        <v>106</v>
      </c>
      <c r="C53" t="s">
        <v>61</v>
      </c>
      <c r="D53" t="s">
        <v>73</v>
      </c>
      <c r="E53" t="s">
        <v>76</v>
      </c>
      <c r="F53" t="s">
        <v>83</v>
      </c>
      <c r="G53">
        <v>3</v>
      </c>
      <c r="H53" s="3">
        <v>0.15</v>
      </c>
      <c r="I53">
        <v>306000</v>
      </c>
      <c r="J53">
        <v>216388</v>
      </c>
      <c r="K53">
        <v>89612</v>
      </c>
      <c r="L53" s="3">
        <f>data[[#This Row],[Profit]]/data[[#This Row],[Sales]]</f>
        <v>0.2928496732026144</v>
      </c>
      <c r="M53" t="s">
        <v>86</v>
      </c>
    </row>
    <row r="54" spans="1:13" x14ac:dyDescent="0.25">
      <c r="A54">
        <v>53</v>
      </c>
      <c r="B54" s="9" t="s">
        <v>108</v>
      </c>
      <c r="C54" t="s">
        <v>59</v>
      </c>
      <c r="D54" t="s">
        <v>73</v>
      </c>
      <c r="E54" t="s">
        <v>77</v>
      </c>
      <c r="F54" t="s">
        <v>82</v>
      </c>
      <c r="G54">
        <v>1</v>
      </c>
      <c r="H54" s="3">
        <v>0</v>
      </c>
      <c r="I54">
        <v>70000</v>
      </c>
      <c r="J54">
        <v>61308</v>
      </c>
      <c r="K54">
        <v>8692</v>
      </c>
      <c r="L54" s="3">
        <f>data[[#This Row],[Profit]]/data[[#This Row],[Sales]]</f>
        <v>0.12417142857142857</v>
      </c>
      <c r="M54" t="s">
        <v>85</v>
      </c>
    </row>
    <row r="55" spans="1:13" x14ac:dyDescent="0.25">
      <c r="A55">
        <v>54</v>
      </c>
      <c r="B55" s="9" t="s">
        <v>103</v>
      </c>
      <c r="C55" t="s">
        <v>62</v>
      </c>
      <c r="D55" t="s">
        <v>73</v>
      </c>
      <c r="E55" t="s">
        <v>79</v>
      </c>
      <c r="F55" t="s">
        <v>83</v>
      </c>
      <c r="G55">
        <v>1</v>
      </c>
      <c r="H55" s="3">
        <v>0</v>
      </c>
      <c r="I55">
        <v>35000</v>
      </c>
      <c r="J55">
        <v>27670</v>
      </c>
      <c r="K55">
        <v>7330</v>
      </c>
      <c r="L55" s="3">
        <f>data[[#This Row],[Profit]]/data[[#This Row],[Sales]]</f>
        <v>0.20942857142857144</v>
      </c>
      <c r="M55" t="s">
        <v>87</v>
      </c>
    </row>
    <row r="56" spans="1:13" x14ac:dyDescent="0.25">
      <c r="A56">
        <v>55</v>
      </c>
      <c r="B56" s="9" t="s">
        <v>108</v>
      </c>
      <c r="C56" t="s">
        <v>49</v>
      </c>
      <c r="D56" t="s">
        <v>70</v>
      </c>
      <c r="E56" t="s">
        <v>77</v>
      </c>
      <c r="F56" t="s">
        <v>82</v>
      </c>
      <c r="G56">
        <v>2</v>
      </c>
      <c r="H56" s="3">
        <v>0</v>
      </c>
      <c r="I56">
        <v>140000</v>
      </c>
      <c r="J56">
        <v>107090</v>
      </c>
      <c r="K56">
        <v>32910</v>
      </c>
      <c r="L56" s="3">
        <f>data[[#This Row],[Profit]]/data[[#This Row],[Sales]]</f>
        <v>0.23507142857142857</v>
      </c>
      <c r="M56" t="s">
        <v>86</v>
      </c>
    </row>
    <row r="57" spans="1:13" x14ac:dyDescent="0.25">
      <c r="A57">
        <v>56</v>
      </c>
      <c r="B57" s="9" t="s">
        <v>102</v>
      </c>
      <c r="C57" t="s">
        <v>47</v>
      </c>
      <c r="D57" t="s">
        <v>70</v>
      </c>
      <c r="E57" t="s">
        <v>78</v>
      </c>
      <c r="F57" t="s">
        <v>84</v>
      </c>
      <c r="G57">
        <v>1</v>
      </c>
      <c r="H57" s="3">
        <v>0.1</v>
      </c>
      <c r="I57">
        <v>7200</v>
      </c>
      <c r="J57">
        <v>5611</v>
      </c>
      <c r="K57">
        <v>1589</v>
      </c>
      <c r="L57" s="3">
        <f>data[[#This Row],[Profit]]/data[[#This Row],[Sales]]</f>
        <v>0.22069444444444444</v>
      </c>
      <c r="M57" t="s">
        <v>86</v>
      </c>
    </row>
    <row r="58" spans="1:13" x14ac:dyDescent="0.25">
      <c r="A58">
        <v>57</v>
      </c>
      <c r="B58" s="9" t="s">
        <v>109</v>
      </c>
      <c r="C58" t="s">
        <v>37</v>
      </c>
      <c r="D58" t="s">
        <v>70</v>
      </c>
      <c r="E58" t="s">
        <v>77</v>
      </c>
      <c r="F58" t="s">
        <v>84</v>
      </c>
      <c r="G58">
        <v>2</v>
      </c>
      <c r="H58" s="3">
        <v>0.05</v>
      </c>
      <c r="I58">
        <v>133000</v>
      </c>
      <c r="J58">
        <v>108456</v>
      </c>
      <c r="K58">
        <v>24544</v>
      </c>
      <c r="L58" s="3">
        <f>data[[#This Row],[Profit]]/data[[#This Row],[Sales]]</f>
        <v>0.18454135338345865</v>
      </c>
      <c r="M58" t="s">
        <v>87</v>
      </c>
    </row>
    <row r="59" spans="1:13" x14ac:dyDescent="0.25">
      <c r="A59">
        <v>58</v>
      </c>
      <c r="B59" s="9" t="s">
        <v>107</v>
      </c>
      <c r="C59" t="s">
        <v>46</v>
      </c>
      <c r="D59" t="s">
        <v>70</v>
      </c>
      <c r="E59" t="s">
        <v>77</v>
      </c>
      <c r="F59" t="s">
        <v>83</v>
      </c>
      <c r="G59">
        <v>1</v>
      </c>
      <c r="H59" s="3">
        <v>0.05</v>
      </c>
      <c r="I59">
        <v>66500</v>
      </c>
      <c r="J59">
        <v>45284</v>
      </c>
      <c r="K59">
        <v>21216</v>
      </c>
      <c r="L59" s="3">
        <f>data[[#This Row],[Profit]]/data[[#This Row],[Sales]]</f>
        <v>0.3190375939849624</v>
      </c>
      <c r="M59" t="s">
        <v>87</v>
      </c>
    </row>
    <row r="60" spans="1:13" x14ac:dyDescent="0.25">
      <c r="A60">
        <v>59</v>
      </c>
      <c r="B60" s="9" t="s">
        <v>108</v>
      </c>
      <c r="C60" t="s">
        <v>44</v>
      </c>
      <c r="D60" t="s">
        <v>69</v>
      </c>
      <c r="E60" t="s">
        <v>77</v>
      </c>
      <c r="F60" t="s">
        <v>82</v>
      </c>
      <c r="G60">
        <v>2</v>
      </c>
      <c r="H60" s="3">
        <v>0</v>
      </c>
      <c r="I60">
        <v>140000</v>
      </c>
      <c r="J60">
        <v>112514</v>
      </c>
      <c r="K60">
        <v>27486</v>
      </c>
      <c r="L60" s="3">
        <f>data[[#This Row],[Profit]]/data[[#This Row],[Sales]]</f>
        <v>0.19632857142857144</v>
      </c>
      <c r="M60" t="s">
        <v>85</v>
      </c>
    </row>
    <row r="61" spans="1:13" x14ac:dyDescent="0.25">
      <c r="A61">
        <v>60</v>
      </c>
      <c r="B61" s="9" t="s">
        <v>105</v>
      </c>
      <c r="C61" t="s">
        <v>62</v>
      </c>
      <c r="D61" t="s">
        <v>71</v>
      </c>
      <c r="E61" t="s">
        <v>78</v>
      </c>
      <c r="F61" t="s">
        <v>83</v>
      </c>
      <c r="G61">
        <v>1</v>
      </c>
      <c r="H61" s="3">
        <v>0</v>
      </c>
      <c r="I61">
        <v>8000</v>
      </c>
      <c r="J61">
        <v>6692</v>
      </c>
      <c r="K61">
        <v>1308</v>
      </c>
      <c r="L61" s="3">
        <f>data[[#This Row],[Profit]]/data[[#This Row],[Sales]]</f>
        <v>0.16350000000000001</v>
      </c>
      <c r="M61" t="s">
        <v>87</v>
      </c>
    </row>
    <row r="62" spans="1:13" x14ac:dyDescent="0.25">
      <c r="A62">
        <v>61</v>
      </c>
      <c r="B62" s="9" t="s">
        <v>105</v>
      </c>
      <c r="C62" t="s">
        <v>33</v>
      </c>
      <c r="D62" t="s">
        <v>69</v>
      </c>
      <c r="E62" t="s">
        <v>78</v>
      </c>
      <c r="F62" t="s">
        <v>83</v>
      </c>
      <c r="G62">
        <v>1</v>
      </c>
      <c r="H62" s="3">
        <v>0.05</v>
      </c>
      <c r="I62">
        <v>7600</v>
      </c>
      <c r="J62">
        <v>5302</v>
      </c>
      <c r="K62">
        <v>2298</v>
      </c>
      <c r="L62" s="3">
        <f>data[[#This Row],[Profit]]/data[[#This Row],[Sales]]</f>
        <v>0.30236842105263156</v>
      </c>
      <c r="M62" t="s">
        <v>87</v>
      </c>
    </row>
    <row r="63" spans="1:13" x14ac:dyDescent="0.25">
      <c r="A63">
        <v>62</v>
      </c>
      <c r="B63" s="9" t="s">
        <v>107</v>
      </c>
      <c r="C63" t="s">
        <v>62</v>
      </c>
      <c r="D63" t="s">
        <v>73</v>
      </c>
      <c r="E63" t="s">
        <v>79</v>
      </c>
      <c r="F63" t="s">
        <v>82</v>
      </c>
      <c r="G63">
        <v>2</v>
      </c>
      <c r="H63" s="3">
        <v>0.1</v>
      </c>
      <c r="I63">
        <v>63000</v>
      </c>
      <c r="J63">
        <v>39535</v>
      </c>
      <c r="K63">
        <v>23465</v>
      </c>
      <c r="L63" s="3">
        <f>data[[#This Row],[Profit]]/data[[#This Row],[Sales]]</f>
        <v>0.37246031746031744</v>
      </c>
      <c r="M63" t="s">
        <v>85</v>
      </c>
    </row>
    <row r="64" spans="1:13" x14ac:dyDescent="0.25">
      <c r="A64">
        <v>63</v>
      </c>
      <c r="B64" s="9" t="s">
        <v>103</v>
      </c>
      <c r="C64" t="s">
        <v>50</v>
      </c>
      <c r="D64" t="s">
        <v>73</v>
      </c>
      <c r="E64" t="s">
        <v>79</v>
      </c>
      <c r="F64" t="s">
        <v>82</v>
      </c>
      <c r="G64">
        <v>2</v>
      </c>
      <c r="H64" s="3">
        <v>0</v>
      </c>
      <c r="I64">
        <v>70000</v>
      </c>
      <c r="J64">
        <v>59906</v>
      </c>
      <c r="K64">
        <v>10094</v>
      </c>
      <c r="L64" s="3">
        <f>data[[#This Row],[Profit]]/data[[#This Row],[Sales]]</f>
        <v>0.14419999999999999</v>
      </c>
      <c r="M64" t="s">
        <v>86</v>
      </c>
    </row>
    <row r="65" spans="1:13" x14ac:dyDescent="0.25">
      <c r="A65">
        <v>64</v>
      </c>
      <c r="B65" s="9" t="s">
        <v>110</v>
      </c>
      <c r="C65" t="s">
        <v>35</v>
      </c>
      <c r="D65" t="s">
        <v>73</v>
      </c>
      <c r="E65" t="s">
        <v>79</v>
      </c>
      <c r="F65" t="s">
        <v>82</v>
      </c>
      <c r="G65">
        <v>1</v>
      </c>
      <c r="H65" s="3">
        <v>0.1</v>
      </c>
      <c r="I65">
        <v>31500</v>
      </c>
      <c r="J65">
        <v>22211</v>
      </c>
      <c r="K65">
        <v>9289</v>
      </c>
      <c r="L65" s="3">
        <f>data[[#This Row],[Profit]]/data[[#This Row],[Sales]]</f>
        <v>0.29488888888888887</v>
      </c>
      <c r="M65" t="s">
        <v>85</v>
      </c>
    </row>
    <row r="66" spans="1:13" x14ac:dyDescent="0.25">
      <c r="A66">
        <v>65</v>
      </c>
      <c r="B66" s="9" t="s">
        <v>102</v>
      </c>
      <c r="C66" t="s">
        <v>63</v>
      </c>
      <c r="D66" t="s">
        <v>70</v>
      </c>
      <c r="E66" t="s">
        <v>75</v>
      </c>
      <c r="F66" t="s">
        <v>83</v>
      </c>
      <c r="G66">
        <v>4</v>
      </c>
      <c r="H66" s="3">
        <v>0</v>
      </c>
      <c r="I66">
        <v>180000</v>
      </c>
      <c r="J66">
        <v>133610</v>
      </c>
      <c r="K66">
        <v>46390</v>
      </c>
      <c r="L66" s="3">
        <f>data[[#This Row],[Profit]]/data[[#This Row],[Sales]]</f>
        <v>0.25772222222222224</v>
      </c>
      <c r="M66" t="s">
        <v>85</v>
      </c>
    </row>
    <row r="67" spans="1:13" x14ac:dyDescent="0.25">
      <c r="A67">
        <v>66</v>
      </c>
      <c r="B67" s="9" t="s">
        <v>106</v>
      </c>
      <c r="C67" t="s">
        <v>36</v>
      </c>
      <c r="D67" t="s">
        <v>73</v>
      </c>
      <c r="E67" t="s">
        <v>76</v>
      </c>
      <c r="F67" t="s">
        <v>84</v>
      </c>
      <c r="G67">
        <v>4</v>
      </c>
      <c r="H67" s="3">
        <v>0</v>
      </c>
      <c r="I67">
        <v>480000</v>
      </c>
      <c r="J67">
        <v>416112</v>
      </c>
      <c r="K67">
        <v>63888</v>
      </c>
      <c r="L67" s="3">
        <f>data[[#This Row],[Profit]]/data[[#This Row],[Sales]]</f>
        <v>0.1331</v>
      </c>
      <c r="M67" t="s">
        <v>85</v>
      </c>
    </row>
    <row r="68" spans="1:13" x14ac:dyDescent="0.25">
      <c r="A68">
        <v>67</v>
      </c>
      <c r="B68" s="9" t="s">
        <v>103</v>
      </c>
      <c r="C68" t="s">
        <v>64</v>
      </c>
      <c r="D68" t="s">
        <v>73</v>
      </c>
      <c r="E68" t="s">
        <v>77</v>
      </c>
      <c r="F68" t="s">
        <v>82</v>
      </c>
      <c r="G68">
        <v>3</v>
      </c>
      <c r="H68" s="3">
        <v>0</v>
      </c>
      <c r="I68">
        <v>210000</v>
      </c>
      <c r="J68">
        <v>160993</v>
      </c>
      <c r="K68">
        <v>49007</v>
      </c>
      <c r="L68" s="3">
        <f>data[[#This Row],[Profit]]/data[[#This Row],[Sales]]</f>
        <v>0.23336666666666667</v>
      </c>
      <c r="M68" t="s">
        <v>87</v>
      </c>
    </row>
    <row r="69" spans="1:13" x14ac:dyDescent="0.25">
      <c r="A69">
        <v>68</v>
      </c>
      <c r="B69" s="9" t="s">
        <v>104</v>
      </c>
      <c r="C69" t="s">
        <v>58</v>
      </c>
      <c r="D69" t="s">
        <v>71</v>
      </c>
      <c r="E69" t="s">
        <v>77</v>
      </c>
      <c r="F69" t="s">
        <v>84</v>
      </c>
      <c r="G69">
        <v>3</v>
      </c>
      <c r="H69" s="3">
        <v>0</v>
      </c>
      <c r="I69">
        <v>210000</v>
      </c>
      <c r="J69">
        <v>172667</v>
      </c>
      <c r="K69">
        <v>37333</v>
      </c>
      <c r="L69" s="3">
        <f>data[[#This Row],[Profit]]/data[[#This Row],[Sales]]</f>
        <v>0.17777619047619048</v>
      </c>
      <c r="M69" t="s">
        <v>86</v>
      </c>
    </row>
    <row r="70" spans="1:13" x14ac:dyDescent="0.25">
      <c r="A70">
        <v>69</v>
      </c>
      <c r="B70" s="9" t="s">
        <v>106</v>
      </c>
      <c r="C70" t="s">
        <v>49</v>
      </c>
      <c r="D70" t="s">
        <v>69</v>
      </c>
      <c r="E70" t="s">
        <v>75</v>
      </c>
      <c r="F70" t="s">
        <v>84</v>
      </c>
      <c r="G70">
        <v>2</v>
      </c>
      <c r="H70" s="3">
        <v>0</v>
      </c>
      <c r="I70">
        <v>90000</v>
      </c>
      <c r="J70">
        <v>57578</v>
      </c>
      <c r="K70">
        <v>32422</v>
      </c>
      <c r="L70" s="3">
        <f>data[[#This Row],[Profit]]/data[[#This Row],[Sales]]</f>
        <v>0.36024444444444442</v>
      </c>
      <c r="M70" t="s">
        <v>87</v>
      </c>
    </row>
    <row r="71" spans="1:13" x14ac:dyDescent="0.25">
      <c r="A71">
        <v>70</v>
      </c>
      <c r="B71" s="9" t="s">
        <v>108</v>
      </c>
      <c r="C71" t="s">
        <v>59</v>
      </c>
      <c r="D71" t="s">
        <v>69</v>
      </c>
      <c r="E71" t="s">
        <v>78</v>
      </c>
      <c r="F71" t="s">
        <v>82</v>
      </c>
      <c r="G71">
        <v>2</v>
      </c>
      <c r="H71" s="3">
        <v>0.1</v>
      </c>
      <c r="I71">
        <v>14400</v>
      </c>
      <c r="J71">
        <v>11405</v>
      </c>
      <c r="K71">
        <v>2995</v>
      </c>
      <c r="L71" s="3">
        <f>data[[#This Row],[Profit]]/data[[#This Row],[Sales]]</f>
        <v>0.20798611111111112</v>
      </c>
      <c r="M71" t="s">
        <v>85</v>
      </c>
    </row>
    <row r="72" spans="1:13" x14ac:dyDescent="0.25">
      <c r="A72">
        <v>71</v>
      </c>
      <c r="B72" s="9" t="s">
        <v>110</v>
      </c>
      <c r="C72" t="s">
        <v>63</v>
      </c>
      <c r="D72" t="s">
        <v>69</v>
      </c>
      <c r="E72" t="s">
        <v>79</v>
      </c>
      <c r="F72" t="s">
        <v>83</v>
      </c>
      <c r="G72">
        <v>2</v>
      </c>
      <c r="H72" s="3">
        <v>0.05</v>
      </c>
      <c r="I72">
        <v>66500</v>
      </c>
      <c r="J72">
        <v>52219</v>
      </c>
      <c r="K72">
        <v>14281</v>
      </c>
      <c r="L72" s="3">
        <f>data[[#This Row],[Profit]]/data[[#This Row],[Sales]]</f>
        <v>0.21475187969924811</v>
      </c>
      <c r="M72" t="s">
        <v>85</v>
      </c>
    </row>
    <row r="73" spans="1:13" x14ac:dyDescent="0.25">
      <c r="A73">
        <v>72</v>
      </c>
      <c r="B73" s="9" t="s">
        <v>102</v>
      </c>
      <c r="C73" t="s">
        <v>90</v>
      </c>
      <c r="D73" t="s">
        <v>70</v>
      </c>
      <c r="E73" t="s">
        <v>77</v>
      </c>
      <c r="F73" t="s">
        <v>84</v>
      </c>
      <c r="G73">
        <v>3</v>
      </c>
      <c r="H73" s="3">
        <v>0.05</v>
      </c>
      <c r="I73">
        <v>199500</v>
      </c>
      <c r="J73">
        <v>155637</v>
      </c>
      <c r="K73">
        <v>43863</v>
      </c>
      <c r="L73" s="3">
        <f>data[[#This Row],[Profit]]/data[[#This Row],[Sales]]</f>
        <v>0.21986466165413535</v>
      </c>
      <c r="M73" t="s">
        <v>86</v>
      </c>
    </row>
    <row r="74" spans="1:13" x14ac:dyDescent="0.25">
      <c r="A74">
        <v>73</v>
      </c>
      <c r="B74" s="9" t="s">
        <v>108</v>
      </c>
      <c r="C74" t="s">
        <v>61</v>
      </c>
      <c r="D74" t="s">
        <v>70</v>
      </c>
      <c r="E74" t="s">
        <v>79</v>
      </c>
      <c r="F74" t="s">
        <v>84</v>
      </c>
      <c r="G74">
        <v>1</v>
      </c>
      <c r="H74" s="3">
        <v>0.05</v>
      </c>
      <c r="I74">
        <v>33250</v>
      </c>
      <c r="J74">
        <v>27978</v>
      </c>
      <c r="K74">
        <v>5272</v>
      </c>
      <c r="L74" s="3">
        <f>data[[#This Row],[Profit]]/data[[#This Row],[Sales]]</f>
        <v>0.15855639097744362</v>
      </c>
      <c r="M74" t="s">
        <v>86</v>
      </c>
    </row>
    <row r="75" spans="1:13" x14ac:dyDescent="0.25">
      <c r="A75">
        <v>74</v>
      </c>
      <c r="B75" s="9" t="s">
        <v>110</v>
      </c>
      <c r="C75" t="s">
        <v>57</v>
      </c>
      <c r="D75" t="s">
        <v>73</v>
      </c>
      <c r="E75" t="s">
        <v>79</v>
      </c>
      <c r="F75" t="s">
        <v>84</v>
      </c>
      <c r="G75">
        <v>3</v>
      </c>
      <c r="H75" s="3">
        <v>0.1</v>
      </c>
      <c r="I75">
        <v>94500</v>
      </c>
      <c r="J75">
        <v>66855</v>
      </c>
      <c r="K75">
        <v>27645</v>
      </c>
      <c r="L75" s="3">
        <f>data[[#This Row],[Profit]]/data[[#This Row],[Sales]]</f>
        <v>0.29253968253968254</v>
      </c>
      <c r="M75" t="s">
        <v>86</v>
      </c>
    </row>
    <row r="76" spans="1:13" x14ac:dyDescent="0.25">
      <c r="A76">
        <v>75</v>
      </c>
      <c r="B76" s="9" t="s">
        <v>109</v>
      </c>
      <c r="C76" t="s">
        <v>54</v>
      </c>
      <c r="D76" t="s">
        <v>73</v>
      </c>
      <c r="E76" t="s">
        <v>79</v>
      </c>
      <c r="F76" t="s">
        <v>82</v>
      </c>
      <c r="G76">
        <v>4</v>
      </c>
      <c r="H76" s="3">
        <v>0.05</v>
      </c>
      <c r="I76">
        <v>133000</v>
      </c>
      <c r="J76">
        <v>94229</v>
      </c>
      <c r="K76">
        <v>38771</v>
      </c>
      <c r="L76" s="3">
        <f>data[[#This Row],[Profit]]/data[[#This Row],[Sales]]</f>
        <v>0.29151127819548872</v>
      </c>
      <c r="M76" t="s">
        <v>85</v>
      </c>
    </row>
    <row r="77" spans="1:13" x14ac:dyDescent="0.25">
      <c r="A77">
        <v>76</v>
      </c>
      <c r="B77" s="9" t="s">
        <v>110</v>
      </c>
      <c r="C77" t="s">
        <v>52</v>
      </c>
      <c r="D77" t="s">
        <v>73</v>
      </c>
      <c r="E77" t="s">
        <v>76</v>
      </c>
      <c r="F77" t="s">
        <v>82</v>
      </c>
      <c r="G77">
        <v>2</v>
      </c>
      <c r="H77" s="3">
        <v>0.15</v>
      </c>
      <c r="I77">
        <v>204000</v>
      </c>
      <c r="J77">
        <v>166693</v>
      </c>
      <c r="K77">
        <v>37307</v>
      </c>
      <c r="L77" s="3">
        <f>data[[#This Row],[Profit]]/data[[#This Row],[Sales]]</f>
        <v>0.18287745098039215</v>
      </c>
      <c r="M77" t="s">
        <v>87</v>
      </c>
    </row>
    <row r="78" spans="1:13" x14ac:dyDescent="0.25">
      <c r="A78">
        <v>77</v>
      </c>
      <c r="B78" s="9" t="s">
        <v>109</v>
      </c>
      <c r="C78" t="s">
        <v>42</v>
      </c>
      <c r="D78" t="s">
        <v>70</v>
      </c>
      <c r="E78" t="s">
        <v>76</v>
      </c>
      <c r="F78" t="s">
        <v>82</v>
      </c>
      <c r="G78">
        <v>1</v>
      </c>
      <c r="H78" s="3">
        <v>0.1</v>
      </c>
      <c r="I78">
        <v>108000</v>
      </c>
      <c r="J78">
        <v>86385</v>
      </c>
      <c r="K78">
        <v>21615</v>
      </c>
      <c r="L78" s="3">
        <f>data[[#This Row],[Profit]]/data[[#This Row],[Sales]]</f>
        <v>0.20013888888888889</v>
      </c>
      <c r="M78" t="s">
        <v>85</v>
      </c>
    </row>
    <row r="79" spans="1:13" x14ac:dyDescent="0.25">
      <c r="A79">
        <v>78</v>
      </c>
      <c r="B79" s="9" t="s">
        <v>102</v>
      </c>
      <c r="C79" t="s">
        <v>33</v>
      </c>
      <c r="D79" t="s">
        <v>71</v>
      </c>
      <c r="E79" t="s">
        <v>79</v>
      </c>
      <c r="F79" t="s">
        <v>84</v>
      </c>
      <c r="G79">
        <v>1</v>
      </c>
      <c r="H79" s="3">
        <v>0.1</v>
      </c>
      <c r="I79">
        <v>31500</v>
      </c>
      <c r="J79">
        <v>27692</v>
      </c>
      <c r="K79">
        <v>3808</v>
      </c>
      <c r="L79" s="3">
        <f>data[[#This Row],[Profit]]/data[[#This Row],[Sales]]</f>
        <v>0.12088888888888889</v>
      </c>
      <c r="M79" t="s">
        <v>86</v>
      </c>
    </row>
    <row r="80" spans="1:13" x14ac:dyDescent="0.25">
      <c r="A80">
        <v>79</v>
      </c>
      <c r="B80" s="9" t="s">
        <v>107</v>
      </c>
      <c r="C80" t="s">
        <v>36</v>
      </c>
      <c r="D80" t="s">
        <v>70</v>
      </c>
      <c r="E80" t="s">
        <v>75</v>
      </c>
      <c r="F80" t="s">
        <v>83</v>
      </c>
      <c r="G80">
        <v>1</v>
      </c>
      <c r="H80" s="3">
        <v>0</v>
      </c>
      <c r="I80">
        <v>45000</v>
      </c>
      <c r="J80">
        <v>36339</v>
      </c>
      <c r="K80">
        <v>8661</v>
      </c>
      <c r="L80" s="3">
        <f>data[[#This Row],[Profit]]/data[[#This Row],[Sales]]</f>
        <v>0.19246666666666667</v>
      </c>
      <c r="M80" t="s">
        <v>85</v>
      </c>
    </row>
    <row r="81" spans="1:13" x14ac:dyDescent="0.25">
      <c r="A81">
        <v>80</v>
      </c>
      <c r="B81" s="9" t="s">
        <v>102</v>
      </c>
      <c r="C81" t="s">
        <v>44</v>
      </c>
      <c r="D81" t="s">
        <v>73</v>
      </c>
      <c r="E81" t="s">
        <v>77</v>
      </c>
      <c r="F81" t="s">
        <v>82</v>
      </c>
      <c r="G81">
        <v>1</v>
      </c>
      <c r="H81" s="3">
        <v>0.15</v>
      </c>
      <c r="I81">
        <v>59500</v>
      </c>
      <c r="J81">
        <v>51998</v>
      </c>
      <c r="K81">
        <v>7502</v>
      </c>
      <c r="L81" s="3">
        <f>data[[#This Row],[Profit]]/data[[#This Row],[Sales]]</f>
        <v>0.12608403361344539</v>
      </c>
      <c r="M81" t="s">
        <v>87</v>
      </c>
    </row>
    <row r="82" spans="1:13" x14ac:dyDescent="0.25">
      <c r="A82">
        <v>81</v>
      </c>
      <c r="B82" s="9" t="s">
        <v>102</v>
      </c>
      <c r="C82" t="s">
        <v>38</v>
      </c>
      <c r="D82" t="s">
        <v>69</v>
      </c>
      <c r="E82" t="s">
        <v>77</v>
      </c>
      <c r="F82" t="s">
        <v>83</v>
      </c>
      <c r="G82">
        <v>1</v>
      </c>
      <c r="H82" s="3">
        <v>0</v>
      </c>
      <c r="I82">
        <v>70000</v>
      </c>
      <c r="J82">
        <v>48901</v>
      </c>
      <c r="K82">
        <v>21099</v>
      </c>
      <c r="L82" s="3">
        <f>data[[#This Row],[Profit]]/data[[#This Row],[Sales]]</f>
        <v>0.30141428571428569</v>
      </c>
      <c r="M82" t="s">
        <v>85</v>
      </c>
    </row>
    <row r="83" spans="1:13" x14ac:dyDescent="0.25">
      <c r="A83">
        <v>82</v>
      </c>
      <c r="B83" s="9" t="s">
        <v>110</v>
      </c>
      <c r="C83" t="s">
        <v>51</v>
      </c>
      <c r="D83" t="s">
        <v>69</v>
      </c>
      <c r="E83" t="s">
        <v>76</v>
      </c>
      <c r="F83" t="s">
        <v>84</v>
      </c>
      <c r="G83">
        <v>3</v>
      </c>
      <c r="H83" s="3">
        <v>0</v>
      </c>
      <c r="I83">
        <v>360000</v>
      </c>
      <c r="J83">
        <v>282905</v>
      </c>
      <c r="K83">
        <v>77095</v>
      </c>
      <c r="L83" s="3">
        <f>data[[#This Row],[Profit]]/data[[#This Row],[Sales]]</f>
        <v>0.21415277777777778</v>
      </c>
      <c r="M83" t="s">
        <v>85</v>
      </c>
    </row>
    <row r="84" spans="1:13" x14ac:dyDescent="0.25">
      <c r="A84">
        <v>83</v>
      </c>
      <c r="B84" s="9" t="s">
        <v>109</v>
      </c>
      <c r="C84" t="s">
        <v>52</v>
      </c>
      <c r="D84" t="s">
        <v>71</v>
      </c>
      <c r="E84" t="s">
        <v>79</v>
      </c>
      <c r="F84" t="s">
        <v>83</v>
      </c>
      <c r="G84">
        <v>1</v>
      </c>
      <c r="H84" s="3">
        <v>0</v>
      </c>
      <c r="I84">
        <v>35000</v>
      </c>
      <c r="J84">
        <v>30486</v>
      </c>
      <c r="K84">
        <v>4514</v>
      </c>
      <c r="L84" s="3">
        <f>data[[#This Row],[Profit]]/data[[#This Row],[Sales]]</f>
        <v>0.12897142857142857</v>
      </c>
      <c r="M84" t="s">
        <v>87</v>
      </c>
    </row>
    <row r="85" spans="1:13" x14ac:dyDescent="0.25">
      <c r="A85">
        <v>84</v>
      </c>
      <c r="B85" s="9" t="s">
        <v>103</v>
      </c>
      <c r="C85" t="s">
        <v>61</v>
      </c>
      <c r="D85" t="s">
        <v>69</v>
      </c>
      <c r="E85" t="s">
        <v>76</v>
      </c>
      <c r="F85" t="s">
        <v>83</v>
      </c>
      <c r="G85">
        <v>0</v>
      </c>
      <c r="H85" s="3">
        <v>0.15</v>
      </c>
      <c r="I85">
        <v>102000</v>
      </c>
      <c r="J85">
        <v>79933</v>
      </c>
      <c r="K85">
        <v>22067</v>
      </c>
      <c r="L85" s="3">
        <f>data[[#This Row],[Profit]]/data[[#This Row],[Sales]]</f>
        <v>0.21634313725490195</v>
      </c>
      <c r="M85" t="s">
        <v>87</v>
      </c>
    </row>
    <row r="86" spans="1:13" x14ac:dyDescent="0.25">
      <c r="A86">
        <v>85</v>
      </c>
      <c r="B86" s="9" t="s">
        <v>106</v>
      </c>
      <c r="C86" t="s">
        <v>65</v>
      </c>
      <c r="D86" t="s">
        <v>71</v>
      </c>
      <c r="E86" t="s">
        <v>76</v>
      </c>
      <c r="F86" t="s">
        <v>82</v>
      </c>
      <c r="G86">
        <v>2</v>
      </c>
      <c r="H86" s="3">
        <v>0.1</v>
      </c>
      <c r="I86">
        <v>216000</v>
      </c>
      <c r="J86">
        <v>167971</v>
      </c>
      <c r="K86">
        <v>48029</v>
      </c>
      <c r="L86" s="3">
        <f>data[[#This Row],[Profit]]/data[[#This Row],[Sales]]</f>
        <v>0.22235648148148149</v>
      </c>
      <c r="M86" t="s">
        <v>85</v>
      </c>
    </row>
    <row r="87" spans="1:13" x14ac:dyDescent="0.25">
      <c r="A87">
        <v>86</v>
      </c>
      <c r="B87" s="9" t="s">
        <v>109</v>
      </c>
      <c r="C87" t="s">
        <v>46</v>
      </c>
      <c r="D87" t="s">
        <v>70</v>
      </c>
      <c r="E87" t="s">
        <v>79</v>
      </c>
      <c r="F87" t="s">
        <v>83</v>
      </c>
      <c r="G87">
        <v>4</v>
      </c>
      <c r="H87" s="3">
        <v>0.15</v>
      </c>
      <c r="I87">
        <v>119000</v>
      </c>
      <c r="J87">
        <v>104412</v>
      </c>
      <c r="K87">
        <v>14588</v>
      </c>
      <c r="L87" s="3">
        <f>data[[#This Row],[Profit]]/data[[#This Row],[Sales]]</f>
        <v>0.12258823529411765</v>
      </c>
      <c r="M87" t="s">
        <v>85</v>
      </c>
    </row>
    <row r="88" spans="1:13" x14ac:dyDescent="0.25">
      <c r="A88">
        <v>87</v>
      </c>
      <c r="B88" s="9" t="s">
        <v>109</v>
      </c>
      <c r="C88" t="s">
        <v>66</v>
      </c>
      <c r="D88" t="s">
        <v>69</v>
      </c>
      <c r="E88" t="s">
        <v>78</v>
      </c>
      <c r="F88" t="s">
        <v>84</v>
      </c>
      <c r="G88">
        <v>4</v>
      </c>
      <c r="H88" s="3">
        <v>0</v>
      </c>
      <c r="I88">
        <v>32000</v>
      </c>
      <c r="J88">
        <v>25044</v>
      </c>
      <c r="K88">
        <v>6956</v>
      </c>
      <c r="L88" s="3">
        <f>data[[#This Row],[Profit]]/data[[#This Row],[Sales]]</f>
        <v>0.21737500000000001</v>
      </c>
      <c r="M88" t="s">
        <v>85</v>
      </c>
    </row>
    <row r="89" spans="1:13" x14ac:dyDescent="0.25">
      <c r="A89">
        <v>88</v>
      </c>
      <c r="B89" s="9" t="s">
        <v>110</v>
      </c>
      <c r="C89" t="s">
        <v>67</v>
      </c>
      <c r="D89" t="s">
        <v>73</v>
      </c>
      <c r="E89" t="s">
        <v>77</v>
      </c>
      <c r="F89" t="s">
        <v>82</v>
      </c>
      <c r="G89">
        <v>1</v>
      </c>
      <c r="H89" s="3">
        <v>0</v>
      </c>
      <c r="I89">
        <v>70000</v>
      </c>
      <c r="J89">
        <v>43449</v>
      </c>
      <c r="K89">
        <v>26551</v>
      </c>
      <c r="L89" s="3">
        <f>data[[#This Row],[Profit]]/data[[#This Row],[Sales]]</f>
        <v>0.37930000000000003</v>
      </c>
      <c r="M89" t="s">
        <v>86</v>
      </c>
    </row>
    <row r="90" spans="1:13" x14ac:dyDescent="0.25">
      <c r="A90">
        <v>89</v>
      </c>
      <c r="B90" s="9" t="s">
        <v>110</v>
      </c>
      <c r="C90" t="s">
        <v>43</v>
      </c>
      <c r="D90" t="s">
        <v>70</v>
      </c>
      <c r="E90" t="s">
        <v>75</v>
      </c>
      <c r="F90" t="s">
        <v>82</v>
      </c>
      <c r="G90">
        <v>1</v>
      </c>
      <c r="H90" s="3">
        <v>0.05</v>
      </c>
      <c r="I90">
        <v>42750</v>
      </c>
      <c r="J90">
        <v>34319</v>
      </c>
      <c r="K90">
        <v>8431</v>
      </c>
      <c r="L90" s="3">
        <f>data[[#This Row],[Profit]]/data[[#This Row],[Sales]]</f>
        <v>0.19721637426900585</v>
      </c>
      <c r="M90" t="s">
        <v>89</v>
      </c>
    </row>
    <row r="91" spans="1:13" x14ac:dyDescent="0.25">
      <c r="A91">
        <v>90</v>
      </c>
      <c r="B91" s="9" t="s">
        <v>104</v>
      </c>
      <c r="C91" t="s">
        <v>68</v>
      </c>
      <c r="D91" t="s">
        <v>71</v>
      </c>
      <c r="E91" t="s">
        <v>78</v>
      </c>
      <c r="F91" t="s">
        <v>84</v>
      </c>
      <c r="G91">
        <v>2</v>
      </c>
      <c r="H91" s="3">
        <v>0</v>
      </c>
      <c r="I91">
        <v>16000</v>
      </c>
      <c r="J91">
        <v>12185</v>
      </c>
      <c r="K91">
        <v>3815</v>
      </c>
      <c r="L91" s="3">
        <f>data[[#This Row],[Profit]]/data[[#This Row],[Sales]]</f>
        <v>0.2384375</v>
      </c>
      <c r="M91" t="s">
        <v>85</v>
      </c>
    </row>
    <row r="92" spans="1:13" x14ac:dyDescent="0.25">
      <c r="A92">
        <v>91</v>
      </c>
      <c r="B92" s="9" t="s">
        <v>110</v>
      </c>
      <c r="C92" t="s">
        <v>65</v>
      </c>
      <c r="D92" t="s">
        <v>69</v>
      </c>
      <c r="E92" t="s">
        <v>76</v>
      </c>
      <c r="F92" t="s">
        <v>82</v>
      </c>
      <c r="G92">
        <v>2</v>
      </c>
      <c r="H92" s="3">
        <v>0.15</v>
      </c>
      <c r="I92">
        <v>204000</v>
      </c>
      <c r="J92">
        <v>175340</v>
      </c>
      <c r="K92">
        <v>28660</v>
      </c>
      <c r="L92" s="3">
        <f>data[[#This Row],[Profit]]/data[[#This Row],[Sales]]</f>
        <v>0.14049019607843138</v>
      </c>
      <c r="M92" t="s">
        <v>85</v>
      </c>
    </row>
    <row r="93" spans="1:13" x14ac:dyDescent="0.25">
      <c r="A93">
        <v>92</v>
      </c>
      <c r="B93" s="9" t="s">
        <v>103</v>
      </c>
      <c r="C93" t="s">
        <v>56</v>
      </c>
      <c r="D93" t="s">
        <v>71</v>
      </c>
      <c r="E93" t="s">
        <v>79</v>
      </c>
      <c r="F93" t="s">
        <v>83</v>
      </c>
      <c r="G93">
        <v>2</v>
      </c>
      <c r="H93" s="3">
        <v>0.1</v>
      </c>
      <c r="I93">
        <f>data[[#This Row],[Cost]]+data[[#This Row],[Profit]]</f>
        <v>63000</v>
      </c>
      <c r="J93">
        <v>46230</v>
      </c>
      <c r="K93">
        <v>16770</v>
      </c>
      <c r="L93" s="3">
        <f>data[[#This Row],[Profit]]/data[[#This Row],[Sales]]</f>
        <v>0.2661904761904762</v>
      </c>
      <c r="M93" t="s">
        <v>86</v>
      </c>
    </row>
    <row r="94" spans="1:13" x14ac:dyDescent="0.25">
      <c r="A94">
        <v>93</v>
      </c>
      <c r="B94" s="9" t="s">
        <v>103</v>
      </c>
      <c r="C94" t="s">
        <v>54</v>
      </c>
      <c r="D94" t="s">
        <v>71</v>
      </c>
      <c r="E94" t="s">
        <v>76</v>
      </c>
      <c r="F94" t="s">
        <v>82</v>
      </c>
      <c r="G94">
        <v>3</v>
      </c>
      <c r="H94" s="3">
        <v>0.15</v>
      </c>
      <c r="I94">
        <v>306000</v>
      </c>
      <c r="J94">
        <v>236432</v>
      </c>
      <c r="K94">
        <v>69568</v>
      </c>
      <c r="L94" s="3">
        <f>data[[#This Row],[Profit]]/data[[#This Row],[Sales]]</f>
        <v>0.22734640522875818</v>
      </c>
      <c r="M94" t="s">
        <v>85</v>
      </c>
    </row>
    <row r="95" spans="1:13" x14ac:dyDescent="0.25">
      <c r="A95">
        <v>94</v>
      </c>
      <c r="B95" s="9" t="s">
        <v>104</v>
      </c>
      <c r="C95" t="s">
        <v>51</v>
      </c>
      <c r="D95" t="s">
        <v>69</v>
      </c>
      <c r="E95" t="s">
        <v>77</v>
      </c>
      <c r="F95" t="s">
        <v>83</v>
      </c>
      <c r="G95">
        <v>3</v>
      </c>
      <c r="H95" s="3">
        <v>0.1</v>
      </c>
      <c r="I95">
        <v>189000</v>
      </c>
      <c r="J95">
        <v>162196</v>
      </c>
      <c r="K95">
        <v>26804</v>
      </c>
      <c r="L95" s="3">
        <f>data[[#This Row],[Profit]]/data[[#This Row],[Sales]]</f>
        <v>0.14182010582010582</v>
      </c>
      <c r="M95" t="s">
        <v>86</v>
      </c>
    </row>
    <row r="96" spans="1:13" x14ac:dyDescent="0.25">
      <c r="A96">
        <v>95</v>
      </c>
      <c r="B96" s="9" t="s">
        <v>108</v>
      </c>
      <c r="C96" t="s">
        <v>35</v>
      </c>
      <c r="D96" t="s">
        <v>70</v>
      </c>
      <c r="E96" t="s">
        <v>76</v>
      </c>
      <c r="F96" t="s">
        <v>83</v>
      </c>
      <c r="G96">
        <v>2</v>
      </c>
      <c r="H96" s="3">
        <v>0.05</v>
      </c>
      <c r="I96">
        <v>228000</v>
      </c>
      <c r="J96">
        <v>160392</v>
      </c>
      <c r="K96">
        <v>67608</v>
      </c>
      <c r="L96" s="3">
        <f>data[[#This Row],[Profit]]/data[[#This Row],[Sales]]</f>
        <v>0.29652631578947369</v>
      </c>
      <c r="M96" t="s">
        <v>85</v>
      </c>
    </row>
    <row r="97" spans="1:13" x14ac:dyDescent="0.25">
      <c r="A97">
        <v>96</v>
      </c>
      <c r="B97" s="9" t="s">
        <v>102</v>
      </c>
      <c r="C97" t="s">
        <v>53</v>
      </c>
      <c r="D97" t="s">
        <v>71</v>
      </c>
      <c r="E97" t="s">
        <v>79</v>
      </c>
      <c r="F97" t="s">
        <v>84</v>
      </c>
      <c r="G97">
        <v>1</v>
      </c>
      <c r="H97" s="3">
        <v>0.1</v>
      </c>
      <c r="I97">
        <v>31500</v>
      </c>
      <c r="J97">
        <v>26193</v>
      </c>
      <c r="K97">
        <v>5307</v>
      </c>
      <c r="L97" s="3">
        <f>data[[#This Row],[Profit]]/data[[#This Row],[Sales]]</f>
        <v>0.16847619047619047</v>
      </c>
      <c r="M97" t="s">
        <v>87</v>
      </c>
    </row>
    <row r="98" spans="1:13" x14ac:dyDescent="0.25">
      <c r="A98">
        <v>97</v>
      </c>
      <c r="B98" s="9" t="s">
        <v>103</v>
      </c>
      <c r="C98" t="s">
        <v>56</v>
      </c>
      <c r="D98" t="s">
        <v>69</v>
      </c>
      <c r="E98" t="s">
        <v>75</v>
      </c>
      <c r="F98" t="s">
        <v>83</v>
      </c>
      <c r="G98">
        <v>1</v>
      </c>
      <c r="H98" s="3">
        <v>0.1</v>
      </c>
      <c r="I98">
        <v>40500</v>
      </c>
      <c r="J98">
        <v>34218</v>
      </c>
      <c r="K98">
        <v>6282</v>
      </c>
      <c r="L98" s="3">
        <f>data[[#This Row],[Profit]]/data[[#This Row],[Sales]]</f>
        <v>0.15511111111111112</v>
      </c>
      <c r="M98" t="s">
        <v>85</v>
      </c>
    </row>
    <row r="99" spans="1:13" x14ac:dyDescent="0.25">
      <c r="A99">
        <v>98</v>
      </c>
      <c r="B99" s="9" t="s">
        <v>110</v>
      </c>
      <c r="C99" t="s">
        <v>44</v>
      </c>
      <c r="D99" t="s">
        <v>70</v>
      </c>
      <c r="E99" t="s">
        <v>79</v>
      </c>
      <c r="F99" t="s">
        <v>82</v>
      </c>
      <c r="G99">
        <v>2</v>
      </c>
      <c r="H99" s="3">
        <v>0.05</v>
      </c>
      <c r="I99">
        <v>66500</v>
      </c>
      <c r="J99">
        <v>51995</v>
      </c>
      <c r="K99">
        <v>14505</v>
      </c>
      <c r="L99" s="3">
        <f>data[[#This Row],[Profit]]/data[[#This Row],[Sales]]</f>
        <v>0.21812030075187969</v>
      </c>
      <c r="M99" t="s">
        <v>85</v>
      </c>
    </row>
    <row r="100" spans="1:13" x14ac:dyDescent="0.25">
      <c r="A100">
        <v>99</v>
      </c>
      <c r="B100" s="9" t="s">
        <v>110</v>
      </c>
      <c r="C100" t="s">
        <v>57</v>
      </c>
      <c r="D100" t="s">
        <v>69</v>
      </c>
      <c r="E100" t="s">
        <v>77</v>
      </c>
      <c r="F100" t="s">
        <v>83</v>
      </c>
      <c r="G100">
        <v>1</v>
      </c>
      <c r="H100" s="3">
        <v>0.05</v>
      </c>
      <c r="I100">
        <v>66500</v>
      </c>
      <c r="J100">
        <v>48805</v>
      </c>
      <c r="K100">
        <v>17695</v>
      </c>
      <c r="L100" s="3">
        <f>data[[#This Row],[Profit]]/data[[#This Row],[Sales]]</f>
        <v>0.26609022556390977</v>
      </c>
      <c r="M100" t="s">
        <v>86</v>
      </c>
    </row>
    <row r="101" spans="1:13" x14ac:dyDescent="0.25">
      <c r="A101">
        <v>100</v>
      </c>
      <c r="B101" s="9" t="s">
        <v>106</v>
      </c>
      <c r="C101" t="s">
        <v>64</v>
      </c>
      <c r="D101" t="s">
        <v>73</v>
      </c>
      <c r="E101" t="s">
        <v>77</v>
      </c>
      <c r="F101" t="s">
        <v>83</v>
      </c>
      <c r="G101">
        <v>1</v>
      </c>
      <c r="H101" s="3">
        <v>0.15</v>
      </c>
      <c r="I101">
        <v>59500</v>
      </c>
      <c r="J101">
        <v>43202</v>
      </c>
      <c r="K101">
        <v>16298</v>
      </c>
      <c r="L101" s="3">
        <f>data[[#This Row],[Profit]]/data[[#This Row],[Sales]]</f>
        <v>0.27391596638655463</v>
      </c>
      <c r="M101" t="s">
        <v>86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Areeba Riaz</cp:lastModifiedBy>
  <dcterms:created xsi:type="dcterms:W3CDTF">2026-09-24T04:21:25Z</dcterms:created>
  <dcterms:modified xsi:type="dcterms:W3CDTF">2026-09-24T07:27:28Z</dcterms:modified>
</cp:coreProperties>
</file>