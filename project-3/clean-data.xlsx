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eeba-files\Data-Analyst\project-3\"/>
    </mc:Choice>
  </mc:AlternateContent>
  <xr:revisionPtr revIDLastSave="0" documentId="13_ncr:1_{10136382-8F22-479E-8D54-FF8D2078AB3F}" xr6:coauthVersionLast="47" xr6:coauthVersionMax="47" xr10:uidLastSave="{00000000-0000-0000-0000-000000000000}"/>
  <bookViews>
    <workbookView xWindow="-120" yWindow="-120" windowWidth="20730" windowHeight="11760" activeTab="1" xr2:uid="{1FE0E422-8053-4ECD-9478-6851A0ACA284}"/>
  </bookViews>
  <sheets>
    <sheet name="Sheet2" sheetId="3" r:id="rId1"/>
    <sheet name="my_file (1)" sheetId="2" r:id="rId2"/>
    <sheet name="Sheet1" sheetId="1" r:id="rId3"/>
  </sheets>
  <definedNames>
    <definedName name="ExternalData_1" localSheetId="1" hidden="1">'my_file (1)'!$A$1:$K$21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3768EA-693C-4665-82EB-446C39E675F8}" keepAlive="1" name="Query - my_file (1)" description="Connection to the 'my_file (1)' query in the workbook." type="5" refreshedVersion="8" background="1" saveData="1">
    <dbPr connection="Provider=Microsoft.Mashup.OleDb.1;Data Source=$Workbook$;Location=&quot;my_file (1)&quot;;Extended Properties=&quot;&quot;" command="SELECT * FROM [my_file (1)]"/>
  </connection>
</connections>
</file>

<file path=xl/sharedStrings.xml><?xml version="1.0" encoding="utf-8"?>
<sst xmlns="http://schemas.openxmlformats.org/spreadsheetml/2006/main" count="179" uniqueCount="124">
  <si>
    <t>Actual gross</t>
  </si>
  <si>
    <t>Artist</t>
  </si>
  <si>
    <t>Shows</t>
  </si>
  <si>
    <t>1</t>
  </si>
  <si>
    <t>2</t>
  </si>
  <si>
    <t>$780,000,000</t>
  </si>
  <si>
    <t>Taylor Swift</t>
  </si>
  <si>
    <t>2023–2024</t>
  </si>
  <si>
    <t>$13,928,571</t>
  </si>
  <si>
    <t>$579,800,000</t>
  </si>
  <si>
    <t>Beyoncé</t>
  </si>
  <si>
    <t>Renaissance World Tour</t>
  </si>
  <si>
    <t>2023</t>
  </si>
  <si>
    <t>$10,353,571</t>
  </si>
  <si>
    <t>$411,000,000</t>
  </si>
  <si>
    <t>$560,622,615</t>
  </si>
  <si>
    <t>Madonna</t>
  </si>
  <si>
    <t>2008–2009</t>
  </si>
  <si>
    <t>$4,835,294</t>
  </si>
  <si>
    <t>$397,300,000</t>
  </si>
  <si>
    <t>$454,751,555</t>
  </si>
  <si>
    <t>Pink</t>
  </si>
  <si>
    <t>Beautiful Trauma World Tour</t>
  </si>
  <si>
    <t>2018–2019</t>
  </si>
  <si>
    <t>$2,546,795</t>
  </si>
  <si>
    <t>$345,675,146</t>
  </si>
  <si>
    <t>$402,844,849</t>
  </si>
  <si>
    <t>Reputation Stadium Tour</t>
  </si>
  <si>
    <t>2018</t>
  </si>
  <si>
    <t>$6,522,173</t>
  </si>
  <si>
    <t>$305,158,363</t>
  </si>
  <si>
    <t>$388,978,496</t>
  </si>
  <si>
    <t>The MDNA Tour</t>
  </si>
  <si>
    <t>2012</t>
  </si>
  <si>
    <t>$3,467,709</t>
  </si>
  <si>
    <t>$280,000,000</t>
  </si>
  <si>
    <t>$381,932,682</t>
  </si>
  <si>
    <t>Celine Dion</t>
  </si>
  <si>
    <t>Taking Chances World Tour</t>
  </si>
  <si>
    <t>$2,137,405</t>
  </si>
  <si>
    <t>$257,600,000</t>
  </si>
  <si>
    <t>$6,282,927</t>
  </si>
  <si>
    <t>$256,084,556</t>
  </si>
  <si>
    <t>$312,258,401</t>
  </si>
  <si>
    <t>The Formation World Tour</t>
  </si>
  <si>
    <t>2016</t>
  </si>
  <si>
    <t>$5,226,215</t>
  </si>
  <si>
    <t>$250,400,000</t>
  </si>
  <si>
    <t>$309,141,878</t>
  </si>
  <si>
    <t>The 1989 World Tour</t>
  </si>
  <si>
    <t>2015</t>
  </si>
  <si>
    <t>$2,945,882</t>
  </si>
  <si>
    <t>$283,202,896</t>
  </si>
  <si>
    <t>The Mrs. Carter Show World Tour</t>
  </si>
  <si>
    <t>2013–2014</t>
  </si>
  <si>
    <t>$1,735,606</t>
  </si>
  <si>
    <t>$227,400,000</t>
  </si>
  <si>
    <t>$295,301,479</t>
  </si>
  <si>
    <t>Lady Gaga</t>
  </si>
  <si>
    <t>2009–2011</t>
  </si>
  <si>
    <t>$1,118,227</t>
  </si>
  <si>
    <t>$204,000,000</t>
  </si>
  <si>
    <t>$251,856,802</t>
  </si>
  <si>
    <t>Katy Perry</t>
  </si>
  <si>
    <t>Prismatic World Tour</t>
  </si>
  <si>
    <t>2014–2015</t>
  </si>
  <si>
    <t>$1,350,993</t>
  </si>
  <si>
    <t>$200,000,000</t>
  </si>
  <si>
    <t>$299,676,265</t>
  </si>
  <si>
    <t>Cher</t>
  </si>
  <si>
    <t>2002–2005</t>
  </si>
  <si>
    <t>$615,385</t>
  </si>
  <si>
    <t>$194,000,000</t>
  </si>
  <si>
    <t>$281,617,035</t>
  </si>
  <si>
    <t>Confessions Tour</t>
  </si>
  <si>
    <t>2006</t>
  </si>
  <si>
    <t>$3,233,333</t>
  </si>
  <si>
    <t>$184,000,000</t>
  </si>
  <si>
    <t>$227,452,347</t>
  </si>
  <si>
    <t>The Truth About Love Tour</t>
  </si>
  <si>
    <t>$1,295,775</t>
  </si>
  <si>
    <t>$170,000,000</t>
  </si>
  <si>
    <t>$213,568,571</t>
  </si>
  <si>
    <t>Born This Way Ball</t>
  </si>
  <si>
    <t>2012–2013</t>
  </si>
  <si>
    <t>$1,734,694</t>
  </si>
  <si>
    <t>$169,800,000</t>
  </si>
  <si>
    <t>$207,046,755</t>
  </si>
  <si>
    <t>Rebel Heart Tour</t>
  </si>
  <si>
    <t>2015–2016</t>
  </si>
  <si>
    <t>$2,070,732</t>
  </si>
  <si>
    <t>$204,486,106</t>
  </si>
  <si>
    <t>Adele</t>
  </si>
  <si>
    <t>Adele Live 2016</t>
  </si>
  <si>
    <t>2016–2017</t>
  </si>
  <si>
    <t>$1,385,950</t>
  </si>
  <si>
    <t>$150,000,000</t>
  </si>
  <si>
    <t>$185,423,109</t>
  </si>
  <si>
    <t>The Red Tour</t>
  </si>
  <si>
    <t>$1,744,186</t>
  </si>
  <si>
    <t>$229,100,000</t>
  </si>
  <si>
    <t xml:space="preserve">The Monster Ball Tour </t>
  </si>
  <si>
    <t xml:space="preserve">Summer Carnival </t>
  </si>
  <si>
    <t xml:space="preserve">The Eras Tour </t>
  </si>
  <si>
    <t>$167,700,000e</t>
  </si>
  <si>
    <t>Living Proof: The Farewell Tour</t>
  </si>
  <si>
    <t>Sticky &amp; Sweet Tour</t>
  </si>
  <si>
    <t xml:space="preserve">         15,16</t>
  </si>
  <si>
    <t>7</t>
  </si>
  <si>
    <t>10</t>
  </si>
  <si>
    <t>14</t>
  </si>
  <si>
    <t>Row Labels</t>
  </si>
  <si>
    <t>Grand Total</t>
  </si>
  <si>
    <t>Count of Adjusted gross (in 2022 dollars)</t>
  </si>
  <si>
    <t>Count of Year(s)</t>
  </si>
  <si>
    <t>Count of Average gross</t>
  </si>
  <si>
    <t>Ranks</t>
  </si>
  <si>
    <t>peak</t>
  </si>
  <si>
    <t>all_time_peak</t>
  </si>
  <si>
    <t xml:space="preserve">Adjusted_gross_in_2022_dollars </t>
  </si>
  <si>
    <t>Tour_title</t>
  </si>
  <si>
    <t>Average_gross</t>
  </si>
  <si>
    <t>Years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</si>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</sst>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3.935611805558" createdVersion="8" refreshedVersion="8" minRefreshableVersion="3" recordCount="20" xr:uid="{84F0EEED-3A8C-486B-A4B6-78499954E179}">
  <cacheSource type="worksheet">
    <worksheetSource name="my_file__1"/>
  </cacheSource>
  <cacheFields count="11">
    <cacheField name="Rank" numFmtId="0">
      <sharedItems containsSemiMixedTypes="0" containsString="0" containsNumber="1" containsInteger="1" minValue="1" maxValue="20" count="19">
        <n v="1"/>
        <n v="2"/>
        <n v="3"/>
        <n v="4"/>
        <n v="5"/>
        <n v="6"/>
        <n v="7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peak(a)" numFmtId="0">
      <sharedItems count="2">
        <s v="1"/>
        <s v="2"/>
      </sharedItems>
    </cacheField>
    <cacheField name="all time peak" numFmtId="0">
      <sharedItems/>
    </cacheField>
    <cacheField name="Actual gross" numFmtId="0">
      <sharedItems/>
    </cacheField>
    <cacheField name="Adjusted gross (in 2022 dollars)" numFmtId="0">
      <sharedItems/>
    </cacheField>
    <cacheField name="Artist" numFmtId="0">
      <sharedItems/>
    </cacheField>
    <cacheField name="Tour title" numFmtId="0">
      <sharedItems/>
    </cacheField>
    <cacheField name="Year(s)" numFmtId="0">
      <sharedItems/>
    </cacheField>
    <cacheField name="Shows" numFmtId="0">
      <sharedItems containsSemiMixedTypes="0" containsString="0" containsNumber="1" containsInteger="1" minValue="41" maxValue="325"/>
    </cacheField>
    <cacheField name="Average gross" numFmtId="0">
      <sharedItems/>
    </cacheField>
    <cacheField name="Ref." numFmtId="1">
      <sharedItems containsMixedTypes="1" containsNumber="1" containsInteger="1" minValue="1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2"/>
    <s v="$780,000,000"/>
    <s v="$780,000,000"/>
    <s v="Taylor Swift"/>
    <s v="The Eras Tour "/>
    <s v="2023–2024"/>
    <n v="56"/>
    <s v="$13,928,571"/>
    <n v="1"/>
  </r>
  <r>
    <x v="1"/>
    <x v="0"/>
    <s v="7"/>
    <s v="$579,800,000"/>
    <s v="$579,800,000"/>
    <s v="Beyoncé"/>
    <s v="Renaissance World Tour"/>
    <s v="2023"/>
    <n v="56"/>
    <s v="$10,353,571"/>
    <n v="3"/>
  </r>
  <r>
    <x v="2"/>
    <x v="0"/>
    <s v="2"/>
    <s v="$411,000,000"/>
    <s v="$560,622,615"/>
    <s v="Madonna"/>
    <s v="Sticky &amp; Sweet Tour"/>
    <s v="2008–2009"/>
    <n v="85"/>
    <s v="$4,835,294"/>
    <n v="6"/>
  </r>
  <r>
    <x v="3"/>
    <x v="1"/>
    <s v="10"/>
    <s v="$397,300,000"/>
    <s v="$454,751,555"/>
    <s v="Pink"/>
    <s v="Beautiful Trauma World Tour"/>
    <s v="2018–2019"/>
    <n v="156"/>
    <s v="$2,546,795"/>
    <n v="7"/>
  </r>
  <r>
    <x v="4"/>
    <x v="1"/>
    <s v="10"/>
    <s v="$345,675,146"/>
    <s v="$402,844,849"/>
    <s v="Taylor Swift"/>
    <s v="Reputation Stadium Tour"/>
    <s v="2018"/>
    <n v="53"/>
    <s v="$6,522,173"/>
    <n v="8"/>
  </r>
  <r>
    <x v="5"/>
    <x v="1"/>
    <s v="10"/>
    <s v="$305,158,363"/>
    <s v="$388,978,496"/>
    <s v="Madonna"/>
    <s v="The MDNA Tour"/>
    <s v="2012"/>
    <n v="88"/>
    <s v="$3,467,709"/>
    <n v="9"/>
  </r>
  <r>
    <x v="6"/>
    <x v="1"/>
    <s v="10"/>
    <s v="$280,000,000"/>
    <s v="$381,932,682"/>
    <s v="Celine Dion"/>
    <s v="Taking Chances World Tour"/>
    <s v="2008–2009"/>
    <n v="131"/>
    <s v="$2,137,405"/>
    <n v="11"/>
  </r>
  <r>
    <x v="6"/>
    <x v="1"/>
    <s v="10"/>
    <s v="$257,600,000"/>
    <s v="$257,600,000"/>
    <s v="Pink"/>
    <s v="Summer Carnival "/>
    <s v="2023–2024"/>
    <n v="41"/>
    <s v="$6,282,927"/>
    <n v="12"/>
  </r>
  <r>
    <x v="7"/>
    <x v="1"/>
    <s v="10"/>
    <s v="$256,084,556"/>
    <s v="$312,258,401"/>
    <s v="Beyoncé"/>
    <s v="The Formation World Tour"/>
    <s v="2016"/>
    <n v="49"/>
    <s v="$5,226,215"/>
    <n v="13"/>
  </r>
  <r>
    <x v="8"/>
    <x v="1"/>
    <s v="10"/>
    <s v="$250,400,000"/>
    <s v="$309,141,878"/>
    <s v="Taylor Swift"/>
    <s v="The 1989 World Tour"/>
    <s v="2015"/>
    <n v="85"/>
    <s v="$2,945,882"/>
    <n v="14"/>
  </r>
  <r>
    <x v="9"/>
    <x v="1"/>
    <s v="10"/>
    <s v="$229,100,000"/>
    <s v="$283,202,896"/>
    <s v="Beyoncé"/>
    <s v="The Mrs. Carter Show World Tour"/>
    <s v="2013–2014"/>
    <n v="132"/>
    <s v="$1,735,606"/>
    <s v="         15,16"/>
  </r>
  <r>
    <x v="10"/>
    <x v="1"/>
    <s v="14"/>
    <s v="$227,400,000"/>
    <s v="$295,301,479"/>
    <s v="Lady Gaga"/>
    <s v="The Monster Ball Tour "/>
    <s v="2009–2011"/>
    <n v="203"/>
    <s v="$1,118,227"/>
    <n v="18"/>
  </r>
  <r>
    <x v="11"/>
    <x v="1"/>
    <s v="10"/>
    <s v="$204,000,000"/>
    <s v="$251,856,802"/>
    <s v="Katy Perry"/>
    <s v="Prismatic World Tour"/>
    <s v="2014–2015"/>
    <n v="151"/>
    <s v="$1,350,993"/>
    <n v="19"/>
  </r>
  <r>
    <x v="12"/>
    <x v="0"/>
    <s v="10"/>
    <s v="$200,000,000"/>
    <s v="$299,676,265"/>
    <s v="Cher"/>
    <s v="Living Proof: The Farewell Tour"/>
    <s v="2002–2005"/>
    <n v="325"/>
    <s v="$615,385"/>
    <n v="20"/>
  </r>
  <r>
    <x v="13"/>
    <x v="1"/>
    <s v="10"/>
    <s v="$194,000,000"/>
    <s v="$281,617,035"/>
    <s v="Madonna"/>
    <s v="Confessions Tour"/>
    <s v="2006"/>
    <n v="60"/>
    <s v="$3,233,333"/>
    <n v="5"/>
  </r>
  <r>
    <x v="14"/>
    <x v="1"/>
    <s v="10"/>
    <s v="$184,000,000"/>
    <s v="$227,452,347"/>
    <s v="Pink"/>
    <s v="The Truth About Love Tour"/>
    <s v="2013–2014"/>
    <n v="142"/>
    <s v="$1,295,775"/>
    <n v="22"/>
  </r>
  <r>
    <x v="15"/>
    <x v="1"/>
    <s v="10"/>
    <s v="$170,000,000"/>
    <s v="$213,568,571"/>
    <s v="Lady Gaga"/>
    <s v="Born This Way Ball"/>
    <s v="2012–2013"/>
    <n v="98"/>
    <s v="$1,734,694"/>
    <n v="12"/>
  </r>
  <r>
    <x v="16"/>
    <x v="1"/>
    <s v="10"/>
    <s v="$169,800,000"/>
    <s v="$207,046,755"/>
    <s v="Madonna"/>
    <s v="Rebel Heart Tour"/>
    <s v="2015–2016"/>
    <n v="82"/>
    <s v="$2,070,732"/>
    <n v="4"/>
  </r>
  <r>
    <x v="17"/>
    <x v="1"/>
    <s v="10"/>
    <s v="$167,700,000e"/>
    <s v="$204,486,106"/>
    <s v="Adele"/>
    <s v="Adele Live 2016"/>
    <s v="2016–2017"/>
    <n v="121"/>
    <s v="$1,385,950"/>
    <n v="25"/>
  </r>
  <r>
    <x v="18"/>
    <x v="1"/>
    <s v="10"/>
    <s v="$150,000,000"/>
    <s v="$185,423,109"/>
    <s v="Taylor Swift"/>
    <s v="The Red Tour"/>
    <s v="2013–2014"/>
    <n v="86"/>
    <s v="$1,744,186"/>
    <n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92BDC-90DC-48CB-AFC0-2D9A6196BA8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11"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Adjusted gross (in 2022 dollars)" fld="4" subtotal="count" baseField="0" baseItem="0"/>
    <dataField name="Count of Year(s)" fld="7" subtotal="count" baseField="0" baseItem="0"/>
    <dataField name="Count of Average gros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C5EC3E-6E00-40ED-B52A-9F95F701BFF1}" autoFormatId="16" applyNumberFormats="0" applyBorderFormats="0" applyFontFormats="0" applyPatternFormats="0" applyAlignmentFormats="0" applyWidthHeightFormats="0">
  <queryTableRefresh nextId="18">
    <queryTableFields count="11">
      <queryTableField id="1" name="Rank" tableColumnId="1"/>
      <queryTableField id="17" dataBound="0" tableColumnId="16"/>
      <queryTableField id="16" dataBound="0" tableColumnId="15"/>
      <queryTableField id="4" name="Actual gross" tableColumnId="4"/>
      <queryTableField id="5" name="Adjusted gross (in 2022 dollars)" tableColumnId="5"/>
      <queryTableField id="6" name="Artist" tableColumnId="6"/>
      <queryTableField id="7" name="Tour title" tableColumnId="7"/>
      <queryTableField id="8" name="Year(s)" tableColumnId="8"/>
      <queryTableField id="9" name="Shows" tableColumnId="9"/>
      <queryTableField id="10" name="Average gross" tableColumnId="10"/>
      <queryTableField id="11" name="Ref." tableColumnId="11"/>
    </queryTableFields>
    <queryTableDeletedFields count="2">
      <deletedField name="Peak"/>
      <deletedField name="All Time Pea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76F34-05CF-48D7-A44F-D14691A0A392}" name="my_file__1" displayName="my_file__1" ref="A1:K22" tableType="queryTable" totalsRowCount="1">
  <autoFilter ref="A1:K21" xr:uid="{C6376F34-05CF-48D7-A44F-D14691A0A392}"/>
  <tableColumns count="11">
    <tableColumn id="1" xr3:uid="{1FA730AD-FF4D-485D-8D42-6DC14FB98AEC}" uniqueName="1" name="Ranks" queryTableFieldId="1"/>
    <tableColumn id="16" xr3:uid="{86C07AB4-C5B3-42FF-87E3-19C05D4AE4C2}" uniqueName="16" name="peak" queryTableFieldId="17" dataDxfId="16"/>
    <tableColumn id="15" xr3:uid="{24CF7D3B-D03E-472D-8941-AAC82FB9DE36}" uniqueName="15" name="all_time_peak" queryTableFieldId="16" dataDxfId="15" totalsRowDxfId="7"/>
    <tableColumn id="4" xr3:uid="{31810F9C-9DE7-424B-9AE8-825B566545DB}" uniqueName="4" name="Actual gross" queryTableFieldId="4" dataDxfId="14" totalsRowDxfId="6"/>
    <tableColumn id="5" xr3:uid="{FB67F32C-9C79-4BCA-BD5C-941381068E06}" uniqueName="5" name="Adjusted_gross_in_2022_dollars " queryTableFieldId="5" dataDxfId="13" totalsRowDxfId="5"/>
    <tableColumn id="6" xr3:uid="{10B4F39C-0949-416E-BEAB-F6042C1C5E33}" uniqueName="6" name="Artist" queryTableFieldId="6" dataDxfId="12" totalsRowDxfId="4"/>
    <tableColumn id="7" xr3:uid="{CE2AB9DA-CD81-4456-A42C-B007248418F9}" uniqueName="7" name="Tour_title" queryTableFieldId="7" dataDxfId="11" totalsRowDxfId="3"/>
    <tableColumn id="8" xr3:uid="{7E9C8688-26A8-4FDD-9698-98E8E01316DC}" uniqueName="8" name="Years" queryTableFieldId="8" dataDxfId="10" totalsRowDxfId="2"/>
    <tableColumn id="9" xr3:uid="{4C6A5BF8-B84D-47B3-8BD8-82EA2A82BEC1}" uniqueName="9" name="Shows" queryTableFieldId="9"/>
    <tableColumn id="10" xr3:uid="{633E37BB-BF91-4F47-BC99-45B100D10DC9}" uniqueName="10" name="Average_gross" queryTableFieldId="10" dataDxfId="9" totalsRowDxfId="1"/>
    <tableColumn id="11" xr3:uid="{9F3EC10E-CB0B-4A45-B5E4-3322188C70ED}" uniqueName="11" name="Ref" totalsRowFunction="custom" queryTableFieldId="11" dataDxfId="8" totalsRowDxfId="0">
      <totalsRowFormula>MEDIAN(my_file__1[Ref])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DEFE-7D01-40C4-8F96-A582F745ED19}">
  <dimension ref="A3:D6"/>
  <sheetViews>
    <sheetView workbookViewId="0">
      <selection activeCell="B29" sqref="B29"/>
    </sheetView>
  </sheetViews>
  <sheetFormatPr defaultRowHeight="15" x14ac:dyDescent="0.25"/>
  <cols>
    <col min="1" max="1" width="13.42578125" bestFit="1" customWidth="1"/>
    <col min="2" max="2" width="38.140625" bestFit="1" customWidth="1"/>
    <col min="3" max="3" width="15.85546875" bestFit="1" customWidth="1"/>
    <col min="4" max="4" width="22.140625" bestFit="1" customWidth="1"/>
  </cols>
  <sheetData>
    <row r="3" spans="1:4" x14ac:dyDescent="0.25">
      <c r="A3" s="3" t="s">
        <v>111</v>
      </c>
      <c r="B3" t="s">
        <v>113</v>
      </c>
      <c r="C3" t="s">
        <v>114</v>
      </c>
      <c r="D3" t="s">
        <v>115</v>
      </c>
    </row>
    <row r="4" spans="1:4" x14ac:dyDescent="0.25">
      <c r="A4" s="4" t="s">
        <v>3</v>
      </c>
      <c r="B4" s="1">
        <v>4</v>
      </c>
      <c r="C4" s="1">
        <v>4</v>
      </c>
      <c r="D4" s="1">
        <v>4</v>
      </c>
    </row>
    <row r="5" spans="1:4" x14ac:dyDescent="0.25">
      <c r="A5" s="4" t="s">
        <v>4</v>
      </c>
      <c r="B5" s="1">
        <v>16</v>
      </c>
      <c r="C5" s="1">
        <v>16</v>
      </c>
      <c r="D5" s="1">
        <v>16</v>
      </c>
    </row>
    <row r="6" spans="1:4" x14ac:dyDescent="0.25">
      <c r="A6" s="4" t="s">
        <v>112</v>
      </c>
      <c r="B6" s="1">
        <v>20</v>
      </c>
      <c r="C6" s="1">
        <v>20</v>
      </c>
      <c r="D6" s="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89BF-7E26-490B-8FA9-9D3928DFD5D9}">
  <dimension ref="A1:K22"/>
  <sheetViews>
    <sheetView tabSelected="1" topLeftCell="B1" workbookViewId="0">
      <selection activeCell="L9" sqref="A1:XFD1048576"/>
    </sheetView>
  </sheetViews>
  <sheetFormatPr defaultRowHeight="15" x14ac:dyDescent="0.25"/>
  <cols>
    <col min="1" max="1" width="7.7109375" bestFit="1" customWidth="1"/>
    <col min="2" max="2" width="7.7109375" customWidth="1"/>
    <col min="3" max="3" width="16" customWidth="1"/>
    <col min="4" max="4" width="17.140625" customWidth="1"/>
    <col min="5" max="5" width="22.140625" customWidth="1"/>
    <col min="6" max="6" width="11" bestFit="1" customWidth="1"/>
    <col min="7" max="7" width="35" bestFit="1" customWidth="1"/>
    <col min="8" max="8" width="14.7109375" customWidth="1"/>
    <col min="9" max="9" width="15.85546875" bestFit="1" customWidth="1"/>
    <col min="10" max="10" width="13.5703125" customWidth="1"/>
  </cols>
  <sheetData>
    <row r="1" spans="1:11" x14ac:dyDescent="0.25">
      <c r="A1" t="s">
        <v>116</v>
      </c>
      <c r="B1" t="s">
        <v>117</v>
      </c>
      <c r="C1" t="s">
        <v>118</v>
      </c>
      <c r="D1" t="s">
        <v>0</v>
      </c>
      <c r="E1" t="s">
        <v>119</v>
      </c>
      <c r="F1" t="s">
        <v>1</v>
      </c>
      <c r="G1" t="s">
        <v>120</v>
      </c>
      <c r="H1" t="s">
        <v>122</v>
      </c>
      <c r="I1" t="s">
        <v>2</v>
      </c>
      <c r="J1" t="s">
        <v>121</v>
      </c>
      <c r="K1" s="2" t="s">
        <v>123</v>
      </c>
    </row>
    <row r="2" spans="1:11" x14ac:dyDescent="0.25">
      <c r="A2">
        <v>1</v>
      </c>
      <c r="B2" t="s">
        <v>3</v>
      </c>
      <c r="C2" s="1" t="s">
        <v>4</v>
      </c>
      <c r="D2" s="1" t="s">
        <v>5</v>
      </c>
      <c r="E2" s="1" t="s">
        <v>5</v>
      </c>
      <c r="F2" s="1" t="s">
        <v>6</v>
      </c>
      <c r="G2" s="1" t="s">
        <v>103</v>
      </c>
      <c r="H2" s="1" t="s">
        <v>7</v>
      </c>
      <c r="I2">
        <v>56</v>
      </c>
      <c r="J2" s="1" t="s">
        <v>8</v>
      </c>
      <c r="K2" s="2">
        <v>1</v>
      </c>
    </row>
    <row r="3" spans="1:11" x14ac:dyDescent="0.25">
      <c r="A3">
        <v>2</v>
      </c>
      <c r="B3" t="s">
        <v>3</v>
      </c>
      <c r="C3" s="1" t="s">
        <v>108</v>
      </c>
      <c r="D3" s="1" t="s">
        <v>9</v>
      </c>
      <c r="E3" s="1" t="s">
        <v>9</v>
      </c>
      <c r="F3" s="1" t="s">
        <v>10</v>
      </c>
      <c r="G3" s="1" t="s">
        <v>11</v>
      </c>
      <c r="H3" s="1" t="s">
        <v>12</v>
      </c>
      <c r="I3">
        <v>56</v>
      </c>
      <c r="J3" s="1" t="s">
        <v>13</v>
      </c>
      <c r="K3" s="2">
        <v>3</v>
      </c>
    </row>
    <row r="4" spans="1:11" x14ac:dyDescent="0.25">
      <c r="A4">
        <v>3</v>
      </c>
      <c r="B4" t="s">
        <v>3</v>
      </c>
      <c r="C4" s="1" t="s">
        <v>4</v>
      </c>
      <c r="D4" s="1" t="s">
        <v>14</v>
      </c>
      <c r="E4" s="1" t="s">
        <v>15</v>
      </c>
      <c r="F4" s="1" t="s">
        <v>16</v>
      </c>
      <c r="G4" s="1" t="s">
        <v>106</v>
      </c>
      <c r="H4" s="1" t="s">
        <v>17</v>
      </c>
      <c r="I4">
        <v>85</v>
      </c>
      <c r="J4" s="1" t="s">
        <v>18</v>
      </c>
      <c r="K4" s="2">
        <v>6</v>
      </c>
    </row>
    <row r="5" spans="1:11" x14ac:dyDescent="0.25">
      <c r="A5">
        <v>4</v>
      </c>
      <c r="B5" t="s">
        <v>4</v>
      </c>
      <c r="C5" s="1" t="s">
        <v>109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>
        <v>156</v>
      </c>
      <c r="J5" s="1" t="s">
        <v>24</v>
      </c>
      <c r="K5" s="2">
        <v>7</v>
      </c>
    </row>
    <row r="6" spans="1:11" x14ac:dyDescent="0.25">
      <c r="A6">
        <v>5</v>
      </c>
      <c r="B6" t="s">
        <v>4</v>
      </c>
      <c r="C6" s="1" t="s">
        <v>109</v>
      </c>
      <c r="D6" s="1" t="s">
        <v>25</v>
      </c>
      <c r="E6" s="1" t="s">
        <v>26</v>
      </c>
      <c r="F6" s="1" t="s">
        <v>6</v>
      </c>
      <c r="G6" s="1" t="s">
        <v>27</v>
      </c>
      <c r="H6" s="1" t="s">
        <v>28</v>
      </c>
      <c r="I6">
        <v>53</v>
      </c>
      <c r="J6" s="1" t="s">
        <v>29</v>
      </c>
      <c r="K6" s="2">
        <v>8</v>
      </c>
    </row>
    <row r="7" spans="1:11" x14ac:dyDescent="0.25">
      <c r="A7">
        <v>6</v>
      </c>
      <c r="B7" t="s">
        <v>4</v>
      </c>
      <c r="C7" s="1" t="s">
        <v>109</v>
      </c>
      <c r="D7" s="1" t="s">
        <v>30</v>
      </c>
      <c r="E7" s="1" t="s">
        <v>31</v>
      </c>
      <c r="F7" s="1" t="s">
        <v>16</v>
      </c>
      <c r="G7" s="1" t="s">
        <v>32</v>
      </c>
      <c r="H7" s="1" t="s">
        <v>33</v>
      </c>
      <c r="I7">
        <v>88</v>
      </c>
      <c r="J7" s="1" t="s">
        <v>34</v>
      </c>
      <c r="K7" s="2">
        <v>9</v>
      </c>
    </row>
    <row r="8" spans="1:11" x14ac:dyDescent="0.25">
      <c r="A8">
        <v>7</v>
      </c>
      <c r="B8" t="s">
        <v>4</v>
      </c>
      <c r="C8" s="1" t="s">
        <v>109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17</v>
      </c>
      <c r="I8">
        <v>131</v>
      </c>
      <c r="J8" s="1" t="s">
        <v>39</v>
      </c>
      <c r="K8" s="2">
        <v>11</v>
      </c>
    </row>
    <row r="9" spans="1:11" x14ac:dyDescent="0.25">
      <c r="A9">
        <v>7</v>
      </c>
      <c r="B9" t="s">
        <v>4</v>
      </c>
      <c r="C9" s="1" t="s">
        <v>109</v>
      </c>
      <c r="D9" s="1" t="s">
        <v>40</v>
      </c>
      <c r="E9" s="1" t="s">
        <v>40</v>
      </c>
      <c r="F9" s="1" t="s">
        <v>21</v>
      </c>
      <c r="G9" s="1" t="s">
        <v>102</v>
      </c>
      <c r="H9" s="1" t="s">
        <v>7</v>
      </c>
      <c r="I9">
        <v>41</v>
      </c>
      <c r="J9" s="1" t="s">
        <v>41</v>
      </c>
      <c r="K9" s="2">
        <v>12</v>
      </c>
    </row>
    <row r="10" spans="1:11" x14ac:dyDescent="0.25">
      <c r="A10">
        <v>9</v>
      </c>
      <c r="B10" t="s">
        <v>4</v>
      </c>
      <c r="C10" s="1" t="s">
        <v>109</v>
      </c>
      <c r="D10" s="1" t="s">
        <v>42</v>
      </c>
      <c r="E10" s="1" t="s">
        <v>43</v>
      </c>
      <c r="F10" s="1" t="s">
        <v>10</v>
      </c>
      <c r="G10" s="1" t="s">
        <v>44</v>
      </c>
      <c r="H10" s="1" t="s">
        <v>45</v>
      </c>
      <c r="I10">
        <v>49</v>
      </c>
      <c r="J10" s="1" t="s">
        <v>46</v>
      </c>
      <c r="K10" s="2">
        <v>13</v>
      </c>
    </row>
    <row r="11" spans="1:11" x14ac:dyDescent="0.25">
      <c r="A11">
        <v>10</v>
      </c>
      <c r="B11" t="s">
        <v>4</v>
      </c>
      <c r="C11" s="1" t="s">
        <v>109</v>
      </c>
      <c r="D11" s="1" t="s">
        <v>47</v>
      </c>
      <c r="E11" s="1" t="s">
        <v>48</v>
      </c>
      <c r="F11" s="1" t="s">
        <v>6</v>
      </c>
      <c r="G11" s="1" t="s">
        <v>49</v>
      </c>
      <c r="H11" s="1" t="s">
        <v>50</v>
      </c>
      <c r="I11">
        <v>85</v>
      </c>
      <c r="J11" s="1" t="s">
        <v>51</v>
      </c>
      <c r="K11" s="2">
        <v>14</v>
      </c>
    </row>
    <row r="12" spans="1:11" x14ac:dyDescent="0.25">
      <c r="A12">
        <v>11</v>
      </c>
      <c r="B12" t="s">
        <v>4</v>
      </c>
      <c r="C12" s="1" t="s">
        <v>109</v>
      </c>
      <c r="D12" s="1" t="s">
        <v>100</v>
      </c>
      <c r="E12" s="1" t="s">
        <v>52</v>
      </c>
      <c r="F12" s="1" t="s">
        <v>10</v>
      </c>
      <c r="G12" s="1" t="s">
        <v>53</v>
      </c>
      <c r="H12" s="1" t="s">
        <v>54</v>
      </c>
      <c r="I12">
        <v>132</v>
      </c>
      <c r="J12" s="1" t="s">
        <v>55</v>
      </c>
      <c r="K12" s="2" t="s">
        <v>107</v>
      </c>
    </row>
    <row r="13" spans="1:11" x14ac:dyDescent="0.25">
      <c r="A13">
        <v>12</v>
      </c>
      <c r="B13" t="s">
        <v>4</v>
      </c>
      <c r="C13" s="1" t="s">
        <v>110</v>
      </c>
      <c r="D13" s="1" t="s">
        <v>56</v>
      </c>
      <c r="E13" s="1" t="s">
        <v>57</v>
      </c>
      <c r="F13" s="1" t="s">
        <v>58</v>
      </c>
      <c r="G13" s="1" t="s">
        <v>101</v>
      </c>
      <c r="H13" s="1" t="s">
        <v>59</v>
      </c>
      <c r="I13">
        <v>203</v>
      </c>
      <c r="J13" s="1" t="s">
        <v>60</v>
      </c>
      <c r="K13" s="2">
        <v>18</v>
      </c>
    </row>
    <row r="14" spans="1:11" x14ac:dyDescent="0.25">
      <c r="A14">
        <v>13</v>
      </c>
      <c r="B14" t="s">
        <v>4</v>
      </c>
      <c r="C14" s="1" t="s">
        <v>109</v>
      </c>
      <c r="D14" s="1" t="s">
        <v>61</v>
      </c>
      <c r="E14" s="1" t="s">
        <v>62</v>
      </c>
      <c r="F14" s="1" t="s">
        <v>63</v>
      </c>
      <c r="G14" s="1" t="s">
        <v>64</v>
      </c>
      <c r="H14" s="1" t="s">
        <v>65</v>
      </c>
      <c r="I14">
        <v>151</v>
      </c>
      <c r="J14" s="1" t="s">
        <v>66</v>
      </c>
      <c r="K14" s="2">
        <v>19</v>
      </c>
    </row>
    <row r="15" spans="1:11" x14ac:dyDescent="0.25">
      <c r="A15">
        <v>14</v>
      </c>
      <c r="B15" t="s">
        <v>3</v>
      </c>
      <c r="C15" s="1" t="s">
        <v>109</v>
      </c>
      <c r="D15" s="1" t="s">
        <v>67</v>
      </c>
      <c r="E15" s="1" t="s">
        <v>68</v>
      </c>
      <c r="F15" s="1" t="s">
        <v>69</v>
      </c>
      <c r="G15" s="1" t="s">
        <v>105</v>
      </c>
      <c r="H15" s="1" t="s">
        <v>70</v>
      </c>
      <c r="I15">
        <v>325</v>
      </c>
      <c r="J15" s="1" t="s">
        <v>71</v>
      </c>
      <c r="K15" s="2">
        <v>20</v>
      </c>
    </row>
    <row r="16" spans="1:11" x14ac:dyDescent="0.25">
      <c r="A16">
        <v>15</v>
      </c>
      <c r="B16" t="s">
        <v>4</v>
      </c>
      <c r="C16" s="1" t="s">
        <v>109</v>
      </c>
      <c r="D16" s="1" t="s">
        <v>72</v>
      </c>
      <c r="E16" s="1" t="s">
        <v>73</v>
      </c>
      <c r="F16" s="1" t="s">
        <v>16</v>
      </c>
      <c r="G16" s="1" t="s">
        <v>74</v>
      </c>
      <c r="H16" s="1" t="s">
        <v>75</v>
      </c>
      <c r="I16">
        <v>60</v>
      </c>
      <c r="J16" s="1" t="s">
        <v>76</v>
      </c>
      <c r="K16" s="2">
        <v>5</v>
      </c>
    </row>
    <row r="17" spans="1:11" x14ac:dyDescent="0.25">
      <c r="A17">
        <v>16</v>
      </c>
      <c r="B17" t="s">
        <v>4</v>
      </c>
      <c r="C17" s="1" t="s">
        <v>109</v>
      </c>
      <c r="D17" s="1" t="s">
        <v>77</v>
      </c>
      <c r="E17" s="1" t="s">
        <v>78</v>
      </c>
      <c r="F17" s="1" t="s">
        <v>21</v>
      </c>
      <c r="G17" s="1" t="s">
        <v>79</v>
      </c>
      <c r="H17" s="1" t="s">
        <v>54</v>
      </c>
      <c r="I17">
        <v>142</v>
      </c>
      <c r="J17" s="1" t="s">
        <v>80</v>
      </c>
      <c r="K17" s="2">
        <v>22</v>
      </c>
    </row>
    <row r="18" spans="1:11" x14ac:dyDescent="0.25">
      <c r="A18">
        <v>17</v>
      </c>
      <c r="B18" t="s">
        <v>4</v>
      </c>
      <c r="C18" s="1" t="s">
        <v>109</v>
      </c>
      <c r="D18" s="1" t="s">
        <v>81</v>
      </c>
      <c r="E18" s="1" t="s">
        <v>82</v>
      </c>
      <c r="F18" s="1" t="s">
        <v>58</v>
      </c>
      <c r="G18" s="1" t="s">
        <v>83</v>
      </c>
      <c r="H18" s="1" t="s">
        <v>84</v>
      </c>
      <c r="I18">
        <v>98</v>
      </c>
      <c r="J18" s="1" t="s">
        <v>85</v>
      </c>
      <c r="K18" s="2">
        <v>12</v>
      </c>
    </row>
    <row r="19" spans="1:11" x14ac:dyDescent="0.25">
      <c r="A19">
        <v>18</v>
      </c>
      <c r="B19" t="s">
        <v>4</v>
      </c>
      <c r="C19" s="1" t="s">
        <v>109</v>
      </c>
      <c r="D19" s="1" t="s">
        <v>86</v>
      </c>
      <c r="E19" s="1" t="s">
        <v>87</v>
      </c>
      <c r="F19" s="1" t="s">
        <v>16</v>
      </c>
      <c r="G19" s="1" t="s">
        <v>88</v>
      </c>
      <c r="H19" s="1" t="s">
        <v>89</v>
      </c>
      <c r="I19">
        <v>82</v>
      </c>
      <c r="J19" s="1" t="s">
        <v>90</v>
      </c>
      <c r="K19" s="2">
        <v>4</v>
      </c>
    </row>
    <row r="20" spans="1:11" x14ac:dyDescent="0.25">
      <c r="A20">
        <v>19</v>
      </c>
      <c r="B20" t="s">
        <v>4</v>
      </c>
      <c r="C20" s="1" t="s">
        <v>109</v>
      </c>
      <c r="D20" s="1" t="s">
        <v>104</v>
      </c>
      <c r="E20" s="1" t="s">
        <v>91</v>
      </c>
      <c r="F20" s="1" t="s">
        <v>92</v>
      </c>
      <c r="G20" s="1" t="s">
        <v>93</v>
      </c>
      <c r="H20" s="1" t="s">
        <v>94</v>
      </c>
      <c r="I20">
        <v>121</v>
      </c>
      <c r="J20" s="1" t="s">
        <v>95</v>
      </c>
      <c r="K20" s="2">
        <v>25</v>
      </c>
    </row>
    <row r="21" spans="1:11" x14ac:dyDescent="0.25">
      <c r="A21">
        <v>20</v>
      </c>
      <c r="B21" t="s">
        <v>4</v>
      </c>
      <c r="C21" s="1" t="s">
        <v>109</v>
      </c>
      <c r="D21" s="1" t="s">
        <v>96</v>
      </c>
      <c r="E21" s="1" t="s">
        <v>97</v>
      </c>
      <c r="F21" s="1" t="s">
        <v>6</v>
      </c>
      <c r="G21" s="1" t="s">
        <v>98</v>
      </c>
      <c r="H21" s="1" t="s">
        <v>54</v>
      </c>
      <c r="I21">
        <v>86</v>
      </c>
      <c r="J21" s="1" t="s">
        <v>99</v>
      </c>
      <c r="K21" s="2">
        <v>26</v>
      </c>
    </row>
    <row r="22" spans="1:11" x14ac:dyDescent="0.25">
      <c r="C22" s="1"/>
      <c r="D22" s="1"/>
      <c r="E22" s="1"/>
      <c r="F22" s="1"/>
      <c r="G22" s="1"/>
      <c r="H22" s="1"/>
      <c r="J22" s="1"/>
      <c r="K22" s="2">
        <f>MEDIAN(my_file__1[Ref])</f>
        <v>12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3EB9-4270-4A30-A8DC-97FED548DA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2F0079-1FEF-495B-A601-04C0A6A44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my_file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2026-07-11T04:37:19Z</dcterms:created>
  <dcterms:modified xsi:type="dcterms:W3CDTF">2026-07-11T05:40:51Z</dcterms:modified>
</cp:coreProperties>
</file>